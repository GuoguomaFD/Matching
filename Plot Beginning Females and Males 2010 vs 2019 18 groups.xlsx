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lmonetaryfund-my.sharepoint.com/personal/xhan_imf_org/Documents/QianYuanHan89/2021/Code and Data for submission/"/>
    </mc:Choice>
  </mc:AlternateContent>
  <xr:revisionPtr revIDLastSave="31" documentId="14_{6E419A9D-463D-43B6-BE25-5C81F0A19D3C}" xr6:coauthVersionLast="47" xr6:coauthVersionMax="47" xr10:uidLastSave="{6737B9C8-EA3E-4796-AECF-F055B159F2CE}"/>
  <bookViews>
    <workbookView xWindow="4245" yWindow="4245" windowWidth="38700" windowHeight="15345" xr2:uid="{BE9B1C91-0C28-4289-A657-F59A5A6F5FEE}"/>
  </bookViews>
  <sheets>
    <sheet name="Sheet" sheetId="2" r:id="rId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" i="2" l="1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27" i="2"/>
  <c r="H48" i="2"/>
  <c r="H47" i="2"/>
  <c r="E47" i="2"/>
  <c r="H46" i="2"/>
  <c r="G46" i="2"/>
  <c r="E45" i="2"/>
  <c r="F45" i="2"/>
  <c r="G45" i="2"/>
  <c r="H45" i="2"/>
  <c r="D45" i="2"/>
  <c r="F28" i="2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</calcChain>
</file>

<file path=xl/sharedStrings.xml><?xml version="1.0" encoding="utf-8"?>
<sst xmlns="http://schemas.openxmlformats.org/spreadsheetml/2006/main" count="76" uniqueCount="22">
  <si>
    <t>Male 2019</t>
  </si>
  <si>
    <t>Female 2019</t>
  </si>
  <si>
    <t>Female 2010</t>
  </si>
  <si>
    <t>Male 2010</t>
  </si>
  <si>
    <t>Space</t>
  </si>
  <si>
    <t>White</t>
  </si>
  <si>
    <t>Black</t>
  </si>
  <si>
    <t>Others</t>
  </si>
  <si>
    <t>High School</t>
  </si>
  <si>
    <t>College</t>
  </si>
  <si>
    <t>Younger</t>
  </si>
  <si>
    <t>Middle</t>
  </si>
  <si>
    <t>Older</t>
  </si>
  <si>
    <t>Race</t>
  </si>
  <si>
    <t>Education</t>
  </si>
  <si>
    <t>Age</t>
  </si>
  <si>
    <t>in 1,000</t>
  </si>
  <si>
    <t>Female</t>
  </si>
  <si>
    <t>Male</t>
  </si>
  <si>
    <t>Line</t>
  </si>
  <si>
    <t>Males to Females Ratio 2010</t>
  </si>
  <si>
    <t>Males to Females Ratio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</si>
</sst>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44BAE17-6F24-4B73-A737-956DFCC3E6B2}"/>
  </tableStyles>
  <colors>
    <mruColors>
      <color rgb="FFFF71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352252549435344E-2"/>
          <c:y val="5.5301150571306315E-2"/>
          <c:w val="0.943712672927841"/>
          <c:h val="0.750769494408687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Sheet!$D$1</c:f>
              <c:strCache>
                <c:ptCount val="1"/>
                <c:pt idx="0">
                  <c:v>Female 2010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cat>
            <c:multiLvlStrRef>
              <c:f>Sheet!$A$2:$C$19</c:f>
              <c:multiLvlStrCache>
                <c:ptCount val="18"/>
                <c:lvl>
                  <c:pt idx="0">
                    <c:v>Younger</c:v>
                  </c:pt>
                  <c:pt idx="1">
                    <c:v>Middle</c:v>
                  </c:pt>
                  <c:pt idx="2">
                    <c:v>Older</c:v>
                  </c:pt>
                  <c:pt idx="3">
                    <c:v>Younger</c:v>
                  </c:pt>
                  <c:pt idx="4">
                    <c:v>Middle</c:v>
                  </c:pt>
                  <c:pt idx="5">
                    <c:v>Older</c:v>
                  </c:pt>
                  <c:pt idx="6">
                    <c:v>Younger</c:v>
                  </c:pt>
                  <c:pt idx="7">
                    <c:v>Middle</c:v>
                  </c:pt>
                  <c:pt idx="8">
                    <c:v>Older</c:v>
                  </c:pt>
                  <c:pt idx="9">
                    <c:v>Younger</c:v>
                  </c:pt>
                  <c:pt idx="10">
                    <c:v>Middle</c:v>
                  </c:pt>
                  <c:pt idx="11">
                    <c:v>Older</c:v>
                  </c:pt>
                  <c:pt idx="12">
                    <c:v>Younger</c:v>
                  </c:pt>
                  <c:pt idx="13">
                    <c:v>Middle</c:v>
                  </c:pt>
                  <c:pt idx="14">
                    <c:v>Older</c:v>
                  </c:pt>
                  <c:pt idx="15">
                    <c:v>Younger</c:v>
                  </c:pt>
                  <c:pt idx="16">
                    <c:v>Middle</c:v>
                  </c:pt>
                  <c:pt idx="17">
                    <c:v>Older</c:v>
                  </c:pt>
                </c:lvl>
                <c:lvl>
                  <c:pt idx="0">
                    <c:v>High School</c:v>
                  </c:pt>
                  <c:pt idx="3">
                    <c:v>College</c:v>
                  </c:pt>
                  <c:pt idx="6">
                    <c:v>High School</c:v>
                  </c:pt>
                  <c:pt idx="9">
                    <c:v>College</c:v>
                  </c:pt>
                  <c:pt idx="12">
                    <c:v>High School</c:v>
                  </c:pt>
                  <c:pt idx="15">
                    <c:v>College</c:v>
                  </c:pt>
                </c:lvl>
                <c:lvl>
                  <c:pt idx="0">
                    <c:v>White</c:v>
                  </c:pt>
                  <c:pt idx="6">
                    <c:v>Black</c:v>
                  </c:pt>
                  <c:pt idx="12">
                    <c:v>Others</c:v>
                  </c:pt>
                </c:lvl>
              </c:multiLvlStrCache>
            </c:multiLvlStrRef>
          </c:cat>
          <c:val>
            <c:numRef>
              <c:f>Sheet!$D$2:$D$19</c:f>
              <c:numCache>
                <c:formatCode>0</c:formatCode>
                <c:ptCount val="18"/>
                <c:pt idx="0">
                  <c:v>279.30700000000002</c:v>
                </c:pt>
                <c:pt idx="1">
                  <c:v>28.504000000000001</c:v>
                </c:pt>
                <c:pt idx="2">
                  <c:v>152.07749999999999</c:v>
                </c:pt>
                <c:pt idx="3">
                  <c:v>39.287999999999997</c:v>
                </c:pt>
                <c:pt idx="4">
                  <c:v>50</c:v>
                </c:pt>
                <c:pt idx="5">
                  <c:v>110.911</c:v>
                </c:pt>
                <c:pt idx="6">
                  <c:v>48.765999999999998</c:v>
                </c:pt>
                <c:pt idx="7">
                  <c:v>9.3019999999999996</c:v>
                </c:pt>
                <c:pt idx="8">
                  <c:v>30.2485</c:v>
                </c:pt>
                <c:pt idx="9">
                  <c:v>5.5279999999999996</c:v>
                </c:pt>
                <c:pt idx="10">
                  <c:v>10.868</c:v>
                </c:pt>
                <c:pt idx="11">
                  <c:v>19.951000000000001</c:v>
                </c:pt>
                <c:pt idx="12">
                  <c:v>63.595999999999997</c:v>
                </c:pt>
                <c:pt idx="13">
                  <c:v>7.0415000000000001</c:v>
                </c:pt>
                <c:pt idx="14">
                  <c:v>15.741</c:v>
                </c:pt>
                <c:pt idx="15">
                  <c:v>7.4</c:v>
                </c:pt>
                <c:pt idx="16">
                  <c:v>9.9664999999999999</c:v>
                </c:pt>
                <c:pt idx="17">
                  <c:v>10.444000000000001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9-4AF0-9D0F-48640A7B1EF6}"/>
            </c:ext>
          </c:extLst>
        </c:ser>
        <c:ser>
          <c:idx val="1"/>
          <c:order val="1"/>
          <c:tx>
            <c:strRef>
              <c:f>Sheet!$E$1</c:f>
              <c:strCache>
                <c:ptCount val="1"/>
                <c:pt idx="0">
                  <c:v>Male 2010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Sheet!$A$2:$C$19</c:f>
              <c:multiLvlStrCache>
                <c:ptCount val="18"/>
                <c:lvl>
                  <c:pt idx="0">
                    <c:v>Younger</c:v>
                  </c:pt>
                  <c:pt idx="1">
                    <c:v>Middle</c:v>
                  </c:pt>
                  <c:pt idx="2">
                    <c:v>Older</c:v>
                  </c:pt>
                  <c:pt idx="3">
                    <c:v>Younger</c:v>
                  </c:pt>
                  <c:pt idx="4">
                    <c:v>Middle</c:v>
                  </c:pt>
                  <c:pt idx="5">
                    <c:v>Older</c:v>
                  </c:pt>
                  <c:pt idx="6">
                    <c:v>Younger</c:v>
                  </c:pt>
                  <c:pt idx="7">
                    <c:v>Middle</c:v>
                  </c:pt>
                  <c:pt idx="8">
                    <c:v>Older</c:v>
                  </c:pt>
                  <c:pt idx="9">
                    <c:v>Younger</c:v>
                  </c:pt>
                  <c:pt idx="10">
                    <c:v>Middle</c:v>
                  </c:pt>
                  <c:pt idx="11">
                    <c:v>Older</c:v>
                  </c:pt>
                  <c:pt idx="12">
                    <c:v>Younger</c:v>
                  </c:pt>
                  <c:pt idx="13">
                    <c:v>Middle</c:v>
                  </c:pt>
                  <c:pt idx="14">
                    <c:v>Older</c:v>
                  </c:pt>
                  <c:pt idx="15">
                    <c:v>Younger</c:v>
                  </c:pt>
                  <c:pt idx="16">
                    <c:v>Middle</c:v>
                  </c:pt>
                  <c:pt idx="17">
                    <c:v>Older</c:v>
                  </c:pt>
                </c:lvl>
                <c:lvl>
                  <c:pt idx="0">
                    <c:v>High School</c:v>
                  </c:pt>
                  <c:pt idx="3">
                    <c:v>College</c:v>
                  </c:pt>
                  <c:pt idx="6">
                    <c:v>High School</c:v>
                  </c:pt>
                  <c:pt idx="9">
                    <c:v>College</c:v>
                  </c:pt>
                  <c:pt idx="12">
                    <c:v>High School</c:v>
                  </c:pt>
                  <c:pt idx="15">
                    <c:v>College</c:v>
                  </c:pt>
                </c:lvl>
                <c:lvl>
                  <c:pt idx="0">
                    <c:v>White</c:v>
                  </c:pt>
                  <c:pt idx="6">
                    <c:v>Black</c:v>
                  </c:pt>
                  <c:pt idx="12">
                    <c:v>Others</c:v>
                  </c:pt>
                </c:lvl>
              </c:multiLvlStrCache>
            </c:multiLvlStrRef>
          </c:cat>
          <c:val>
            <c:numRef>
              <c:f>Sheet!$E$2:$E$19</c:f>
              <c:numCache>
                <c:formatCode>0</c:formatCode>
                <c:ptCount val="18"/>
                <c:pt idx="0">
                  <c:v>314.71699999999998</c:v>
                </c:pt>
                <c:pt idx="1">
                  <c:v>46.981000000000002</c:v>
                </c:pt>
                <c:pt idx="2">
                  <c:v>88.710499999999996</c:v>
                </c:pt>
                <c:pt idx="3">
                  <c:v>44.731000000000002</c:v>
                </c:pt>
                <c:pt idx="4">
                  <c:v>45.045999999999999</c:v>
                </c:pt>
                <c:pt idx="5">
                  <c:v>67.111999999999995</c:v>
                </c:pt>
                <c:pt idx="6">
                  <c:v>55.36</c:v>
                </c:pt>
                <c:pt idx="7">
                  <c:v>12.467000000000001</c:v>
                </c:pt>
                <c:pt idx="8">
                  <c:v>17.673500000000001</c:v>
                </c:pt>
                <c:pt idx="9">
                  <c:v>5.4359999999999999</c:v>
                </c:pt>
                <c:pt idx="10">
                  <c:v>6.7069999999999999</c:v>
                </c:pt>
                <c:pt idx="11">
                  <c:v>7.6689999999999996</c:v>
                </c:pt>
                <c:pt idx="12">
                  <c:v>70.372</c:v>
                </c:pt>
                <c:pt idx="13">
                  <c:v>10.147500000000001</c:v>
                </c:pt>
                <c:pt idx="14">
                  <c:v>8.5660000000000007</c:v>
                </c:pt>
                <c:pt idx="15">
                  <c:v>8.9550000000000001</c:v>
                </c:pt>
                <c:pt idx="16">
                  <c:v>9.0414999999999992</c:v>
                </c:pt>
                <c:pt idx="17">
                  <c:v>5.4050000000000002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D9-4AF0-9D0F-48640A7B1EF6}"/>
            </c:ext>
          </c:extLst>
        </c:ser>
        <c:ser>
          <c:idx val="2"/>
          <c:order val="2"/>
          <c:tx>
            <c:strRef>
              <c:f>Sheet!$F$1</c:f>
              <c:strCache>
                <c:ptCount val="1"/>
                <c:pt idx="0">
                  <c:v>Space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Sheet!$A$2:$C$19</c:f>
              <c:multiLvlStrCache>
                <c:ptCount val="18"/>
                <c:lvl>
                  <c:pt idx="0">
                    <c:v>Younger</c:v>
                  </c:pt>
                  <c:pt idx="1">
                    <c:v>Middle</c:v>
                  </c:pt>
                  <c:pt idx="2">
                    <c:v>Older</c:v>
                  </c:pt>
                  <c:pt idx="3">
                    <c:v>Younger</c:v>
                  </c:pt>
                  <c:pt idx="4">
                    <c:v>Middle</c:v>
                  </c:pt>
                  <c:pt idx="5">
                    <c:v>Older</c:v>
                  </c:pt>
                  <c:pt idx="6">
                    <c:v>Younger</c:v>
                  </c:pt>
                  <c:pt idx="7">
                    <c:v>Middle</c:v>
                  </c:pt>
                  <c:pt idx="8">
                    <c:v>Older</c:v>
                  </c:pt>
                  <c:pt idx="9">
                    <c:v>Younger</c:v>
                  </c:pt>
                  <c:pt idx="10">
                    <c:v>Middle</c:v>
                  </c:pt>
                  <c:pt idx="11">
                    <c:v>Older</c:v>
                  </c:pt>
                  <c:pt idx="12">
                    <c:v>Younger</c:v>
                  </c:pt>
                  <c:pt idx="13">
                    <c:v>Middle</c:v>
                  </c:pt>
                  <c:pt idx="14">
                    <c:v>Older</c:v>
                  </c:pt>
                  <c:pt idx="15">
                    <c:v>Younger</c:v>
                  </c:pt>
                  <c:pt idx="16">
                    <c:v>Middle</c:v>
                  </c:pt>
                  <c:pt idx="17">
                    <c:v>Older</c:v>
                  </c:pt>
                </c:lvl>
                <c:lvl>
                  <c:pt idx="0">
                    <c:v>High School</c:v>
                  </c:pt>
                  <c:pt idx="3">
                    <c:v>College</c:v>
                  </c:pt>
                  <c:pt idx="6">
                    <c:v>High School</c:v>
                  </c:pt>
                  <c:pt idx="9">
                    <c:v>College</c:v>
                  </c:pt>
                  <c:pt idx="12">
                    <c:v>High School</c:v>
                  </c:pt>
                  <c:pt idx="15">
                    <c:v>College</c:v>
                  </c:pt>
                </c:lvl>
                <c:lvl>
                  <c:pt idx="0">
                    <c:v>White</c:v>
                  </c:pt>
                  <c:pt idx="6">
                    <c:v>Black</c:v>
                  </c:pt>
                  <c:pt idx="12">
                    <c:v>Others</c:v>
                  </c:pt>
                </c:lvl>
              </c:multiLvlStrCache>
            </c:multiLvlStrRef>
          </c:cat>
          <c:val>
            <c:numRef>
              <c:f>Sheet!$F$2:$F$19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D9-4AF0-9D0F-48640A7B1EF6}"/>
            </c:ext>
          </c:extLst>
        </c:ser>
        <c:ser>
          <c:idx val="3"/>
          <c:order val="3"/>
          <c:tx>
            <c:strRef>
              <c:f>Sheet!$G$1</c:f>
              <c:strCache>
                <c:ptCount val="1"/>
                <c:pt idx="0">
                  <c:v>Female 2019</c:v>
                </c:pt>
              </c:strCache>
            </c:strRef>
          </c:tx>
          <c:spPr>
            <a:pattFill prst="dkDnDiag">
              <a:fgClr>
                <a:srgbClr val="C0000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multiLvlStrRef>
              <c:f>Sheet!$A$2:$C$19</c:f>
              <c:multiLvlStrCache>
                <c:ptCount val="18"/>
                <c:lvl>
                  <c:pt idx="0">
                    <c:v>Younger</c:v>
                  </c:pt>
                  <c:pt idx="1">
                    <c:v>Middle</c:v>
                  </c:pt>
                  <c:pt idx="2">
                    <c:v>Older</c:v>
                  </c:pt>
                  <c:pt idx="3">
                    <c:v>Younger</c:v>
                  </c:pt>
                  <c:pt idx="4">
                    <c:v>Middle</c:v>
                  </c:pt>
                  <c:pt idx="5">
                    <c:v>Older</c:v>
                  </c:pt>
                  <c:pt idx="6">
                    <c:v>Younger</c:v>
                  </c:pt>
                  <c:pt idx="7">
                    <c:v>Middle</c:v>
                  </c:pt>
                  <c:pt idx="8">
                    <c:v>Older</c:v>
                  </c:pt>
                  <c:pt idx="9">
                    <c:v>Younger</c:v>
                  </c:pt>
                  <c:pt idx="10">
                    <c:v>Middle</c:v>
                  </c:pt>
                  <c:pt idx="11">
                    <c:v>Older</c:v>
                  </c:pt>
                  <c:pt idx="12">
                    <c:v>Younger</c:v>
                  </c:pt>
                  <c:pt idx="13">
                    <c:v>Middle</c:v>
                  </c:pt>
                  <c:pt idx="14">
                    <c:v>Older</c:v>
                  </c:pt>
                  <c:pt idx="15">
                    <c:v>Younger</c:v>
                  </c:pt>
                  <c:pt idx="16">
                    <c:v>Middle</c:v>
                  </c:pt>
                  <c:pt idx="17">
                    <c:v>Older</c:v>
                  </c:pt>
                </c:lvl>
                <c:lvl>
                  <c:pt idx="0">
                    <c:v>High School</c:v>
                  </c:pt>
                  <c:pt idx="3">
                    <c:v>College</c:v>
                  </c:pt>
                  <c:pt idx="6">
                    <c:v>High School</c:v>
                  </c:pt>
                  <c:pt idx="9">
                    <c:v>College</c:v>
                  </c:pt>
                  <c:pt idx="12">
                    <c:v>High School</c:v>
                  </c:pt>
                  <c:pt idx="15">
                    <c:v>College</c:v>
                  </c:pt>
                </c:lvl>
                <c:lvl>
                  <c:pt idx="0">
                    <c:v>White</c:v>
                  </c:pt>
                  <c:pt idx="6">
                    <c:v>Black</c:v>
                  </c:pt>
                  <c:pt idx="12">
                    <c:v>Others</c:v>
                  </c:pt>
                </c:lvl>
              </c:multiLvlStrCache>
            </c:multiLvlStrRef>
          </c:cat>
          <c:val>
            <c:numRef>
              <c:f>Sheet!$G$2:$G$19</c:f>
              <c:numCache>
                <c:formatCode>0</c:formatCode>
                <c:ptCount val="18"/>
                <c:pt idx="0">
                  <c:v>263.21949999999998</c:v>
                </c:pt>
                <c:pt idx="1">
                  <c:v>31.335999999999999</c:v>
                </c:pt>
                <c:pt idx="2">
                  <c:v>153.40299999999999</c:v>
                </c:pt>
                <c:pt idx="3">
                  <c:v>37.725000000000001</c:v>
                </c:pt>
                <c:pt idx="4">
                  <c:v>66.843000000000004</c:v>
                </c:pt>
                <c:pt idx="5">
                  <c:v>143.78200000000001</c:v>
                </c:pt>
                <c:pt idx="6">
                  <c:v>37.088999999999999</c:v>
                </c:pt>
                <c:pt idx="7">
                  <c:v>8.5609999999999999</c:v>
                </c:pt>
                <c:pt idx="8">
                  <c:v>29.136500000000002</c:v>
                </c:pt>
                <c:pt idx="9">
                  <c:v>5.4870000000000001</c:v>
                </c:pt>
                <c:pt idx="10">
                  <c:v>11.4915</c:v>
                </c:pt>
                <c:pt idx="11">
                  <c:v>24.6</c:v>
                </c:pt>
                <c:pt idx="12">
                  <c:v>67.039000000000001</c:v>
                </c:pt>
                <c:pt idx="13">
                  <c:v>7.7729999999999997</c:v>
                </c:pt>
                <c:pt idx="14">
                  <c:v>19.210999999999999</c:v>
                </c:pt>
                <c:pt idx="15">
                  <c:v>9.3800000000000008</c:v>
                </c:pt>
                <c:pt idx="16">
                  <c:v>16.087499999999999</c:v>
                </c:pt>
                <c:pt idx="17">
                  <c:v>16.102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D9-4AF0-9D0F-48640A7B1EF6}"/>
            </c:ext>
          </c:extLst>
        </c:ser>
        <c:ser>
          <c:idx val="4"/>
          <c:order val="4"/>
          <c:tx>
            <c:strRef>
              <c:f>Sheet!$H$1</c:f>
              <c:strCache>
                <c:ptCount val="1"/>
                <c:pt idx="0">
                  <c:v>Male 2019</c:v>
                </c:pt>
              </c:strCache>
            </c:strRef>
          </c:tx>
          <c:spPr>
            <a:pattFill prst="dkDnDiag">
              <a:fgClr>
                <a:schemeClr val="accent5">
                  <a:lumMod val="75000"/>
                </a:schemeClr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multiLvlStrRef>
              <c:f>Sheet!$A$2:$C$19</c:f>
              <c:multiLvlStrCache>
                <c:ptCount val="18"/>
                <c:lvl>
                  <c:pt idx="0">
                    <c:v>Younger</c:v>
                  </c:pt>
                  <c:pt idx="1">
                    <c:v>Middle</c:v>
                  </c:pt>
                  <c:pt idx="2">
                    <c:v>Older</c:v>
                  </c:pt>
                  <c:pt idx="3">
                    <c:v>Younger</c:v>
                  </c:pt>
                  <c:pt idx="4">
                    <c:v>Middle</c:v>
                  </c:pt>
                  <c:pt idx="5">
                    <c:v>Older</c:v>
                  </c:pt>
                  <c:pt idx="6">
                    <c:v>Younger</c:v>
                  </c:pt>
                  <c:pt idx="7">
                    <c:v>Middle</c:v>
                  </c:pt>
                  <c:pt idx="8">
                    <c:v>Older</c:v>
                  </c:pt>
                  <c:pt idx="9">
                    <c:v>Younger</c:v>
                  </c:pt>
                  <c:pt idx="10">
                    <c:v>Middle</c:v>
                  </c:pt>
                  <c:pt idx="11">
                    <c:v>Older</c:v>
                  </c:pt>
                  <c:pt idx="12">
                    <c:v>Younger</c:v>
                  </c:pt>
                  <c:pt idx="13">
                    <c:v>Middle</c:v>
                  </c:pt>
                  <c:pt idx="14">
                    <c:v>Older</c:v>
                  </c:pt>
                  <c:pt idx="15">
                    <c:v>Younger</c:v>
                  </c:pt>
                  <c:pt idx="16">
                    <c:v>Middle</c:v>
                  </c:pt>
                  <c:pt idx="17">
                    <c:v>Older</c:v>
                  </c:pt>
                </c:lvl>
                <c:lvl>
                  <c:pt idx="0">
                    <c:v>High School</c:v>
                  </c:pt>
                  <c:pt idx="3">
                    <c:v>College</c:v>
                  </c:pt>
                  <c:pt idx="6">
                    <c:v>High School</c:v>
                  </c:pt>
                  <c:pt idx="9">
                    <c:v>College</c:v>
                  </c:pt>
                  <c:pt idx="12">
                    <c:v>High School</c:v>
                  </c:pt>
                  <c:pt idx="15">
                    <c:v>College</c:v>
                  </c:pt>
                </c:lvl>
                <c:lvl>
                  <c:pt idx="0">
                    <c:v>White</c:v>
                  </c:pt>
                  <c:pt idx="6">
                    <c:v>Black</c:v>
                  </c:pt>
                  <c:pt idx="12">
                    <c:v>Others</c:v>
                  </c:pt>
                </c:lvl>
              </c:multiLvlStrCache>
            </c:multiLvlStrRef>
          </c:cat>
          <c:val>
            <c:numRef>
              <c:f>Sheet!$H$2:$H$19</c:f>
              <c:numCache>
                <c:formatCode>0</c:formatCode>
                <c:ptCount val="18"/>
                <c:pt idx="0">
                  <c:v>297.66649999999998</c:v>
                </c:pt>
                <c:pt idx="1">
                  <c:v>52.465000000000003</c:v>
                </c:pt>
                <c:pt idx="2">
                  <c:v>103.447</c:v>
                </c:pt>
                <c:pt idx="3">
                  <c:v>45.804000000000002</c:v>
                </c:pt>
                <c:pt idx="4">
                  <c:v>63.356999999999999</c:v>
                </c:pt>
                <c:pt idx="5">
                  <c:v>88.864999999999995</c:v>
                </c:pt>
                <c:pt idx="6">
                  <c:v>43.06</c:v>
                </c:pt>
                <c:pt idx="7">
                  <c:v>13.614000000000001</c:v>
                </c:pt>
                <c:pt idx="8">
                  <c:v>20.4285</c:v>
                </c:pt>
                <c:pt idx="9">
                  <c:v>6.0609999999999999</c:v>
                </c:pt>
                <c:pt idx="10">
                  <c:v>8.2855000000000008</c:v>
                </c:pt>
                <c:pt idx="11">
                  <c:v>10.693</c:v>
                </c:pt>
                <c:pt idx="12">
                  <c:v>73.674000000000007</c:v>
                </c:pt>
                <c:pt idx="13">
                  <c:v>12.186</c:v>
                </c:pt>
                <c:pt idx="14">
                  <c:v>11.632999999999999</c:v>
                </c:pt>
                <c:pt idx="15">
                  <c:v>11.808</c:v>
                </c:pt>
                <c:pt idx="16">
                  <c:v>14.9345</c:v>
                </c:pt>
                <c:pt idx="17">
                  <c:v>8.7010000000000005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D9-4AF0-9D0F-48640A7B1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0044879"/>
        <c:axId val="1425303519"/>
      </c:barChart>
      <c:catAx>
        <c:axId val="64004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1425303519"/>
        <c:crosses val="autoZero"/>
        <c:auto val="1"/>
        <c:lblAlgn val="ctr"/>
        <c:lblOffset val="100"/>
        <c:noMultiLvlLbl val="0"/>
      </c:catAx>
      <c:valAx>
        <c:axId val="1425303519"/>
        <c:scaling>
          <c:orientation val="minMax"/>
          <c:max val="320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prstDash val="dashDot"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64004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44471580876848354"/>
          <c:y val="9.7042909653219933E-2"/>
          <c:w val="0.3208613252604996"/>
          <c:h val="0.115860449435196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ysClr val="windowText" lastClr="000000"/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928066300740906E-2"/>
          <c:y val="5.6204257190364287E-2"/>
          <c:w val="0.91108941295118007"/>
          <c:h val="0.60122933586181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Sheet!$M$26</c:f>
              <c:strCache>
                <c:ptCount val="1"/>
                <c:pt idx="0">
                  <c:v>Males to Females Ratio 2010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Sheet!$A$27:$C$44</c15:sqref>
                  </c15:fullRef>
                </c:ext>
              </c:extLst>
              <c:f>Sheet!$A$27:$C$44</c:f>
              <c:multiLvlStrCache>
                <c:ptCount val="18"/>
                <c:lvl>
                  <c:pt idx="0">
                    <c:v>Younger</c:v>
                  </c:pt>
                  <c:pt idx="1">
                    <c:v>Middle</c:v>
                  </c:pt>
                  <c:pt idx="2">
                    <c:v>Older</c:v>
                  </c:pt>
                  <c:pt idx="3">
                    <c:v>Younger</c:v>
                  </c:pt>
                  <c:pt idx="4">
                    <c:v>Middle</c:v>
                  </c:pt>
                  <c:pt idx="5">
                    <c:v>Older</c:v>
                  </c:pt>
                  <c:pt idx="6">
                    <c:v>Younger</c:v>
                  </c:pt>
                  <c:pt idx="7">
                    <c:v>Middle</c:v>
                  </c:pt>
                  <c:pt idx="8">
                    <c:v>Older</c:v>
                  </c:pt>
                  <c:pt idx="9">
                    <c:v>Younger</c:v>
                  </c:pt>
                  <c:pt idx="10">
                    <c:v>Middle</c:v>
                  </c:pt>
                  <c:pt idx="11">
                    <c:v>Older</c:v>
                  </c:pt>
                  <c:pt idx="12">
                    <c:v>Younger</c:v>
                  </c:pt>
                  <c:pt idx="13">
                    <c:v>Middle</c:v>
                  </c:pt>
                  <c:pt idx="14">
                    <c:v>Older</c:v>
                  </c:pt>
                  <c:pt idx="15">
                    <c:v>Younger</c:v>
                  </c:pt>
                  <c:pt idx="16">
                    <c:v>Middle</c:v>
                  </c:pt>
                  <c:pt idx="17">
                    <c:v>Older</c:v>
                  </c:pt>
                </c:lvl>
                <c:lvl>
                  <c:pt idx="0">
                    <c:v>High School</c:v>
                  </c:pt>
                  <c:pt idx="3">
                    <c:v>College</c:v>
                  </c:pt>
                  <c:pt idx="6">
                    <c:v>High School</c:v>
                  </c:pt>
                  <c:pt idx="9">
                    <c:v>College</c:v>
                  </c:pt>
                  <c:pt idx="12">
                    <c:v>High School</c:v>
                  </c:pt>
                  <c:pt idx="15">
                    <c:v>College</c:v>
                  </c:pt>
                </c:lvl>
                <c:lvl>
                  <c:pt idx="0">
                    <c:v>White</c:v>
                  </c:pt>
                  <c:pt idx="6">
                    <c:v>Black</c:v>
                  </c:pt>
                  <c:pt idx="12">
                    <c:v>Others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Sheet!$M$27:$M$45</c15:sqref>
                  </c15:fullRef>
                </c:ext>
              </c:extLst>
              <c:f>Sheet!$M$27:$M$44</c:f>
              <c:numCache>
                <c:formatCode>0.00</c:formatCode>
                <c:ptCount val="18"/>
                <c:pt idx="0">
                  <c:v>1.126778061416291</c:v>
                </c:pt>
                <c:pt idx="1">
                  <c:v>1.6482248105529049</c:v>
                </c:pt>
                <c:pt idx="2">
                  <c:v>0.58332429189064783</c:v>
                </c:pt>
                <c:pt idx="3">
                  <c:v>1.1385410303400529</c:v>
                </c:pt>
                <c:pt idx="4">
                  <c:v>0.90092000000000005</c:v>
                </c:pt>
                <c:pt idx="5">
                  <c:v>0.60509778110376788</c:v>
                </c:pt>
                <c:pt idx="6">
                  <c:v>1.1352171594963705</c:v>
                </c:pt>
                <c:pt idx="7">
                  <c:v>1.3402494087293055</c:v>
                </c:pt>
                <c:pt idx="8">
                  <c:v>0.58427690629287399</c:v>
                </c:pt>
                <c:pt idx="9">
                  <c:v>0.98335745296671495</c:v>
                </c:pt>
                <c:pt idx="10">
                  <c:v>0.61713286713286708</c:v>
                </c:pt>
                <c:pt idx="11">
                  <c:v>0.38439175981153828</c:v>
                </c:pt>
                <c:pt idx="12">
                  <c:v>1.1065475816089063</c:v>
                </c:pt>
                <c:pt idx="13">
                  <c:v>1.4410991976141447</c:v>
                </c:pt>
                <c:pt idx="14">
                  <c:v>0.54418397814624231</c:v>
                </c:pt>
                <c:pt idx="15">
                  <c:v>1.210135135135135</c:v>
                </c:pt>
                <c:pt idx="16">
                  <c:v>0.90718908342948879</c:v>
                </c:pt>
                <c:pt idx="17">
                  <c:v>0.51752202221371124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3-4816-9F6D-6A522B444901}"/>
            </c:ext>
          </c:extLst>
        </c:ser>
        <c:ser>
          <c:idx val="1"/>
          <c:order val="1"/>
          <c:tx>
            <c:strRef>
              <c:f>Sheet!$N$26</c:f>
              <c:strCache>
                <c:ptCount val="1"/>
                <c:pt idx="0">
                  <c:v>Males to Females Ratio 2019</c:v>
                </c:pt>
              </c:strCache>
            </c:strRef>
          </c:tx>
          <c:spPr>
            <a:pattFill prst="smCheck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rgbClr val="0070C0"/>
              </a:solidFill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Sheet!$A$27:$C$44</c15:sqref>
                  </c15:fullRef>
                </c:ext>
              </c:extLst>
              <c:f>Sheet!$A$27:$C$44</c:f>
              <c:multiLvlStrCache>
                <c:ptCount val="18"/>
                <c:lvl>
                  <c:pt idx="0">
                    <c:v>Younger</c:v>
                  </c:pt>
                  <c:pt idx="1">
                    <c:v>Middle</c:v>
                  </c:pt>
                  <c:pt idx="2">
                    <c:v>Older</c:v>
                  </c:pt>
                  <c:pt idx="3">
                    <c:v>Younger</c:v>
                  </c:pt>
                  <c:pt idx="4">
                    <c:v>Middle</c:v>
                  </c:pt>
                  <c:pt idx="5">
                    <c:v>Older</c:v>
                  </c:pt>
                  <c:pt idx="6">
                    <c:v>Younger</c:v>
                  </c:pt>
                  <c:pt idx="7">
                    <c:v>Middle</c:v>
                  </c:pt>
                  <c:pt idx="8">
                    <c:v>Older</c:v>
                  </c:pt>
                  <c:pt idx="9">
                    <c:v>Younger</c:v>
                  </c:pt>
                  <c:pt idx="10">
                    <c:v>Middle</c:v>
                  </c:pt>
                  <c:pt idx="11">
                    <c:v>Older</c:v>
                  </c:pt>
                  <c:pt idx="12">
                    <c:v>Younger</c:v>
                  </c:pt>
                  <c:pt idx="13">
                    <c:v>Middle</c:v>
                  </c:pt>
                  <c:pt idx="14">
                    <c:v>Older</c:v>
                  </c:pt>
                  <c:pt idx="15">
                    <c:v>Younger</c:v>
                  </c:pt>
                  <c:pt idx="16">
                    <c:v>Middle</c:v>
                  </c:pt>
                  <c:pt idx="17">
                    <c:v>Older</c:v>
                  </c:pt>
                </c:lvl>
                <c:lvl>
                  <c:pt idx="0">
                    <c:v>High School</c:v>
                  </c:pt>
                  <c:pt idx="3">
                    <c:v>College</c:v>
                  </c:pt>
                  <c:pt idx="6">
                    <c:v>High School</c:v>
                  </c:pt>
                  <c:pt idx="9">
                    <c:v>College</c:v>
                  </c:pt>
                  <c:pt idx="12">
                    <c:v>High School</c:v>
                  </c:pt>
                  <c:pt idx="15">
                    <c:v>College</c:v>
                  </c:pt>
                </c:lvl>
                <c:lvl>
                  <c:pt idx="0">
                    <c:v>White</c:v>
                  </c:pt>
                  <c:pt idx="6">
                    <c:v>Black</c:v>
                  </c:pt>
                  <c:pt idx="12">
                    <c:v>Others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Sheet!$N$27:$N$45</c15:sqref>
                  </c15:fullRef>
                </c:ext>
              </c:extLst>
              <c:f>Sheet!$N$27:$N$44</c:f>
              <c:numCache>
                <c:formatCode>0.00</c:formatCode>
                <c:ptCount val="18"/>
                <c:pt idx="0">
                  <c:v>1.1308679638096721</c:v>
                </c:pt>
                <c:pt idx="1">
                  <c:v>1.6742724023487363</c:v>
                </c:pt>
                <c:pt idx="2">
                  <c:v>0.67434795929675428</c:v>
                </c:pt>
                <c:pt idx="3">
                  <c:v>1.214155069582505</c:v>
                </c:pt>
                <c:pt idx="4">
                  <c:v>0.94784794219289981</c:v>
                </c:pt>
                <c:pt idx="5">
                  <c:v>0.61805372021532601</c:v>
                </c:pt>
                <c:pt idx="6">
                  <c:v>1.1609911294453881</c:v>
                </c:pt>
                <c:pt idx="7">
                  <c:v>1.5902347856558814</c:v>
                </c:pt>
                <c:pt idx="8">
                  <c:v>0.70113088394282086</c:v>
                </c:pt>
                <c:pt idx="9">
                  <c:v>1.1046108984873337</c:v>
                </c:pt>
                <c:pt idx="10">
                  <c:v>0.72101118217813165</c:v>
                </c:pt>
                <c:pt idx="11">
                  <c:v>0.4346747967479675</c:v>
                </c:pt>
                <c:pt idx="12">
                  <c:v>1.09897224003938</c:v>
                </c:pt>
                <c:pt idx="13">
                  <c:v>1.5677344654573524</c:v>
                </c:pt>
                <c:pt idx="14">
                  <c:v>0.60553849357139145</c:v>
                </c:pt>
                <c:pt idx="15">
                  <c:v>1.2588486140724946</c:v>
                </c:pt>
                <c:pt idx="16">
                  <c:v>0.9283294483294483</c:v>
                </c:pt>
                <c:pt idx="17">
                  <c:v>0.5403676561917774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53-4816-9F6D-6A522B444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0"/>
        <c:overlap val="-60"/>
        <c:axId val="687756287"/>
        <c:axId val="822476207"/>
      </c:barChart>
      <c:lineChart>
        <c:grouping val="standard"/>
        <c:varyColors val="0"/>
        <c:ser>
          <c:idx val="2"/>
          <c:order val="2"/>
          <c:tx>
            <c:strRef>
              <c:f>Sheet!$P$26</c:f>
              <c:strCache>
                <c:ptCount val="1"/>
                <c:pt idx="0">
                  <c:v>Line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Lit>
              <c:ptCount val="18"/>
              <c:pt idx="0">
                <c:v>White High School Younger</c:v>
              </c:pt>
              <c:pt idx="1">
                <c:v>White High School Middle</c:v>
              </c:pt>
              <c:pt idx="2">
                <c:v>White High School Older</c:v>
              </c:pt>
              <c:pt idx="3">
                <c:v>White College Younger</c:v>
              </c:pt>
              <c:pt idx="4">
                <c:v>White College Middle</c:v>
              </c:pt>
              <c:pt idx="5">
                <c:v>White College Older</c:v>
              </c:pt>
              <c:pt idx="6">
                <c:v>Black High School Younger</c:v>
              </c:pt>
              <c:pt idx="7">
                <c:v>Black High School Middle</c:v>
              </c:pt>
              <c:pt idx="8">
                <c:v>Black High School Older</c:v>
              </c:pt>
              <c:pt idx="9">
                <c:v>Black College Younger</c:v>
              </c:pt>
              <c:pt idx="10">
                <c:v>Black College Middle</c:v>
              </c:pt>
              <c:pt idx="11">
                <c:v>Black College Older</c:v>
              </c:pt>
              <c:pt idx="12">
                <c:v>Others High School Younger</c:v>
              </c:pt>
              <c:pt idx="13">
                <c:v>Others High School Middle</c:v>
              </c:pt>
              <c:pt idx="14">
                <c:v>Others High School Older</c:v>
              </c:pt>
              <c:pt idx="15">
                <c:v>Others College Younger</c:v>
              </c:pt>
              <c:pt idx="16">
                <c:v>Others College Middle</c:v>
              </c:pt>
              <c:pt idx="17">
                <c:v>Others College Older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Sheet!$P$27:$P$45</c15:sqref>
                  </c15:fullRef>
                </c:ext>
              </c:extLst>
              <c:f>Sheet!$P$27:$P$44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53-4816-9F6D-6A522B444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756287"/>
        <c:axId val="822476207"/>
      </c:lineChart>
      <c:catAx>
        <c:axId val="68775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822476207"/>
        <c:crosses val="autoZero"/>
        <c:auto val="1"/>
        <c:lblAlgn val="ctr"/>
        <c:lblOffset val="100"/>
        <c:noMultiLvlLbl val="0"/>
      </c:catAx>
      <c:valAx>
        <c:axId val="82247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68775628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egendEntry>
        <c:idx val="2"/>
        <c:delete val="1"/>
      </c:legendEntry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14286</xdr:colOff>
      <xdr:row>0</xdr:row>
      <xdr:rowOff>9524</xdr:rowOff>
    </xdr:from>
    <xdr:to>
      <xdr:col>32</xdr:col>
      <xdr:colOff>285749</xdr:colOff>
      <xdr:row>36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063378-1353-478F-BB8E-30C7B5A1F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119062</xdr:colOff>
      <xdr:row>48</xdr:row>
      <xdr:rowOff>66675</xdr:rowOff>
    </xdr:from>
    <xdr:to>
      <xdr:col>19</xdr:col>
      <xdr:colOff>381000</xdr:colOff>
      <xdr:row>70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277359-152E-708C-C379-6E624E421D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F1B03-6223-48DD-844D-13D40728D734}">
  <dimension ref="A1:P48"/>
  <sheetViews>
    <sheetView tabSelected="1" workbookViewId="0">
      <selection activeCell="D58" sqref="D58"/>
    </sheetView>
  </sheetViews>
  <sheetFormatPr defaultRowHeight="12.75" x14ac:dyDescent="0.2"/>
  <cols>
    <col min="3" max="3" width="12" customWidth="1"/>
    <col min="6" max="6" width="4" customWidth="1"/>
  </cols>
  <sheetData>
    <row r="1" spans="1:14" x14ac:dyDescent="0.2">
      <c r="A1" t="s">
        <v>13</v>
      </c>
      <c r="B1" t="s">
        <v>14</v>
      </c>
      <c r="C1" t="s">
        <v>15</v>
      </c>
      <c r="D1" t="s">
        <v>2</v>
      </c>
      <c r="E1" t="s">
        <v>3</v>
      </c>
      <c r="F1" t="s">
        <v>4</v>
      </c>
      <c r="G1" t="s">
        <v>1</v>
      </c>
      <c r="H1" t="s">
        <v>0</v>
      </c>
      <c r="J1" t="s">
        <v>16</v>
      </c>
    </row>
    <row r="2" spans="1:14" x14ac:dyDescent="0.2">
      <c r="A2" s="2" t="s">
        <v>5</v>
      </c>
      <c r="B2" t="s">
        <v>8</v>
      </c>
      <c r="C2" t="s">
        <v>10</v>
      </c>
      <c r="D2" s="1">
        <v>279.30700000000002</v>
      </c>
      <c r="E2" s="1">
        <v>314.71699999999998</v>
      </c>
      <c r="F2" s="1">
        <v>0</v>
      </c>
      <c r="G2" s="1">
        <v>263.21949999999998</v>
      </c>
      <c r="H2" s="1">
        <v>297.66649999999998</v>
      </c>
      <c r="J2" s="1"/>
      <c r="K2" s="1"/>
      <c r="L2" s="1"/>
      <c r="M2" s="1"/>
      <c r="N2" s="1"/>
    </row>
    <row r="3" spans="1:14" x14ac:dyDescent="0.2">
      <c r="A3" s="2"/>
      <c r="C3" t="s">
        <v>11</v>
      </c>
      <c r="D3" s="1">
        <v>28.504000000000001</v>
      </c>
      <c r="E3" s="1">
        <v>46.981000000000002</v>
      </c>
      <c r="F3" s="1">
        <v>0</v>
      </c>
      <c r="G3" s="1">
        <v>31.335999999999999</v>
      </c>
      <c r="H3" s="1">
        <v>52.465000000000003</v>
      </c>
      <c r="J3" s="1"/>
      <c r="K3" s="1"/>
      <c r="L3" s="1"/>
      <c r="M3" s="1"/>
      <c r="N3" s="1"/>
    </row>
    <row r="4" spans="1:14" x14ac:dyDescent="0.2">
      <c r="A4" s="2"/>
      <c r="C4" t="s">
        <v>12</v>
      </c>
      <c r="D4" s="1">
        <v>152.07749999999999</v>
      </c>
      <c r="E4" s="1">
        <v>88.710499999999996</v>
      </c>
      <c r="F4" s="1">
        <v>0</v>
      </c>
      <c r="G4" s="1">
        <v>153.40299999999999</v>
      </c>
      <c r="H4" s="1">
        <v>103.447</v>
      </c>
      <c r="J4" s="1"/>
      <c r="K4" s="1"/>
      <c r="L4" s="1"/>
      <c r="M4" s="1"/>
      <c r="N4" s="1"/>
    </row>
    <row r="5" spans="1:14" x14ac:dyDescent="0.2">
      <c r="A5" s="2"/>
      <c r="B5" t="s">
        <v>9</v>
      </c>
      <c r="C5" t="s">
        <v>10</v>
      </c>
      <c r="D5" s="1">
        <v>39.287999999999997</v>
      </c>
      <c r="E5" s="1">
        <v>44.731000000000002</v>
      </c>
      <c r="F5" s="1">
        <v>0</v>
      </c>
      <c r="G5" s="1">
        <v>37.725000000000001</v>
      </c>
      <c r="H5" s="1">
        <v>45.804000000000002</v>
      </c>
      <c r="J5" s="1"/>
      <c r="K5" s="1"/>
      <c r="L5" s="1"/>
      <c r="M5" s="1"/>
      <c r="N5" s="1"/>
    </row>
    <row r="6" spans="1:14" x14ac:dyDescent="0.2">
      <c r="A6" s="2"/>
      <c r="C6" t="s">
        <v>11</v>
      </c>
      <c r="D6" s="1">
        <v>50</v>
      </c>
      <c r="E6" s="1">
        <v>45.045999999999999</v>
      </c>
      <c r="F6" s="1">
        <v>0</v>
      </c>
      <c r="G6" s="1">
        <v>66.843000000000004</v>
      </c>
      <c r="H6" s="1">
        <v>63.356999999999999</v>
      </c>
      <c r="J6" s="1"/>
      <c r="K6" s="1"/>
      <c r="L6" s="1"/>
      <c r="M6" s="1"/>
      <c r="N6" s="1"/>
    </row>
    <row r="7" spans="1:14" x14ac:dyDescent="0.2">
      <c r="A7" s="2"/>
      <c r="C7" t="s">
        <v>12</v>
      </c>
      <c r="D7" s="1">
        <v>110.911</v>
      </c>
      <c r="E7" s="1">
        <v>67.111999999999995</v>
      </c>
      <c r="F7" s="1">
        <v>0</v>
      </c>
      <c r="G7" s="1">
        <v>143.78200000000001</v>
      </c>
      <c r="H7" s="1">
        <v>88.864999999999995</v>
      </c>
      <c r="J7" s="1"/>
      <c r="K7" s="1"/>
      <c r="L7" s="1"/>
      <c r="M7" s="1"/>
      <c r="N7" s="1"/>
    </row>
    <row r="8" spans="1:14" x14ac:dyDescent="0.2">
      <c r="A8" s="2" t="s">
        <v>6</v>
      </c>
      <c r="B8" t="s">
        <v>8</v>
      </c>
      <c r="C8" t="s">
        <v>10</v>
      </c>
      <c r="D8" s="1">
        <v>48.765999999999998</v>
      </c>
      <c r="E8" s="1">
        <v>55.36</v>
      </c>
      <c r="F8" s="1">
        <v>0</v>
      </c>
      <c r="G8" s="1">
        <v>37.088999999999999</v>
      </c>
      <c r="H8" s="1">
        <v>43.06</v>
      </c>
      <c r="J8" s="1"/>
      <c r="K8" s="1"/>
      <c r="L8" s="1"/>
      <c r="M8" s="1"/>
      <c r="N8" s="1"/>
    </row>
    <row r="9" spans="1:14" x14ac:dyDescent="0.2">
      <c r="A9" s="2"/>
      <c r="C9" t="s">
        <v>11</v>
      </c>
      <c r="D9" s="1">
        <v>9.3019999999999996</v>
      </c>
      <c r="E9" s="1">
        <v>12.467000000000001</v>
      </c>
      <c r="F9" s="1">
        <v>0</v>
      </c>
      <c r="G9" s="1">
        <v>8.5609999999999999</v>
      </c>
      <c r="H9" s="1">
        <v>13.614000000000001</v>
      </c>
      <c r="J9" s="1"/>
      <c r="K9" s="1"/>
      <c r="L9" s="1"/>
      <c r="M9" s="1"/>
      <c r="N9" s="1"/>
    </row>
    <row r="10" spans="1:14" x14ac:dyDescent="0.2">
      <c r="A10" s="2"/>
      <c r="C10" t="s">
        <v>12</v>
      </c>
      <c r="D10" s="1">
        <v>30.2485</v>
      </c>
      <c r="E10" s="1">
        <v>17.673500000000001</v>
      </c>
      <c r="F10" s="1">
        <v>0</v>
      </c>
      <c r="G10" s="1">
        <v>29.136500000000002</v>
      </c>
      <c r="H10" s="1">
        <v>20.4285</v>
      </c>
      <c r="J10" s="1"/>
      <c r="K10" s="1"/>
      <c r="L10" s="1"/>
      <c r="M10" s="1"/>
      <c r="N10" s="1"/>
    </row>
    <row r="11" spans="1:14" x14ac:dyDescent="0.2">
      <c r="A11" s="2"/>
      <c r="B11" t="s">
        <v>9</v>
      </c>
      <c r="C11" t="s">
        <v>10</v>
      </c>
      <c r="D11" s="1">
        <v>5.5279999999999996</v>
      </c>
      <c r="E11" s="1">
        <v>5.4359999999999999</v>
      </c>
      <c r="F11" s="1">
        <v>0</v>
      </c>
      <c r="G11" s="1">
        <v>5.4870000000000001</v>
      </c>
      <c r="H11" s="1">
        <v>6.0609999999999999</v>
      </c>
      <c r="J11" s="1"/>
      <c r="K11" s="1"/>
      <c r="L11" s="1"/>
      <c r="M11" s="1"/>
      <c r="N11" s="1"/>
    </row>
    <row r="12" spans="1:14" x14ac:dyDescent="0.2">
      <c r="A12" s="2"/>
      <c r="C12" t="s">
        <v>11</v>
      </c>
      <c r="D12" s="1">
        <v>10.868</v>
      </c>
      <c r="E12" s="1">
        <v>6.7069999999999999</v>
      </c>
      <c r="F12" s="1">
        <v>0</v>
      </c>
      <c r="G12" s="1">
        <v>11.4915</v>
      </c>
      <c r="H12" s="1">
        <v>8.2855000000000008</v>
      </c>
      <c r="J12" s="1"/>
      <c r="K12" s="1"/>
      <c r="L12" s="1"/>
      <c r="M12" s="1"/>
      <c r="N12" s="1"/>
    </row>
    <row r="13" spans="1:14" x14ac:dyDescent="0.2">
      <c r="A13" s="2"/>
      <c r="C13" t="s">
        <v>12</v>
      </c>
      <c r="D13" s="1">
        <v>19.951000000000001</v>
      </c>
      <c r="E13" s="1">
        <v>7.6689999999999996</v>
      </c>
      <c r="F13" s="1">
        <v>0</v>
      </c>
      <c r="G13" s="1">
        <v>24.6</v>
      </c>
      <c r="H13" s="1">
        <v>10.693</v>
      </c>
      <c r="J13" s="1"/>
      <c r="K13" s="1"/>
      <c r="L13" s="1"/>
      <c r="M13" s="1"/>
      <c r="N13" s="1"/>
    </row>
    <row r="14" spans="1:14" x14ac:dyDescent="0.2">
      <c r="A14" s="2" t="s">
        <v>7</v>
      </c>
      <c r="B14" t="s">
        <v>8</v>
      </c>
      <c r="C14" t="s">
        <v>10</v>
      </c>
      <c r="D14" s="1">
        <v>63.595999999999997</v>
      </c>
      <c r="E14" s="1">
        <v>70.372</v>
      </c>
      <c r="F14" s="1">
        <v>0</v>
      </c>
      <c r="G14" s="1">
        <v>67.039000000000001</v>
      </c>
      <c r="H14" s="1">
        <v>73.674000000000007</v>
      </c>
      <c r="J14" s="1"/>
      <c r="K14" s="1"/>
      <c r="L14" s="1"/>
      <c r="M14" s="1"/>
      <c r="N14" s="1"/>
    </row>
    <row r="15" spans="1:14" x14ac:dyDescent="0.2">
      <c r="A15" s="2"/>
      <c r="C15" t="s">
        <v>11</v>
      </c>
      <c r="D15" s="1">
        <v>7.0415000000000001</v>
      </c>
      <c r="E15" s="1">
        <v>10.147500000000001</v>
      </c>
      <c r="F15" s="1">
        <v>0</v>
      </c>
      <c r="G15" s="1">
        <v>7.7729999999999997</v>
      </c>
      <c r="H15" s="1">
        <v>12.186</v>
      </c>
      <c r="J15" s="1"/>
      <c r="K15" s="1"/>
      <c r="L15" s="1"/>
      <c r="M15" s="1"/>
      <c r="N15" s="1"/>
    </row>
    <row r="16" spans="1:14" x14ac:dyDescent="0.2">
      <c r="A16" s="2"/>
      <c r="C16" t="s">
        <v>12</v>
      </c>
      <c r="D16" s="1">
        <v>15.741</v>
      </c>
      <c r="E16" s="1">
        <v>8.5660000000000007</v>
      </c>
      <c r="F16" s="1">
        <v>0</v>
      </c>
      <c r="G16" s="1">
        <v>19.210999999999999</v>
      </c>
      <c r="H16" s="1">
        <v>11.632999999999999</v>
      </c>
      <c r="J16" s="1"/>
      <c r="K16" s="1"/>
      <c r="L16" s="1"/>
      <c r="M16" s="1"/>
      <c r="N16" s="1"/>
    </row>
    <row r="17" spans="1:16" x14ac:dyDescent="0.2">
      <c r="A17" s="2"/>
      <c r="B17" t="s">
        <v>9</v>
      </c>
      <c r="C17" t="s">
        <v>10</v>
      </c>
      <c r="D17" s="1">
        <v>7.4</v>
      </c>
      <c r="E17" s="1">
        <v>8.9550000000000001</v>
      </c>
      <c r="F17" s="1">
        <v>0</v>
      </c>
      <c r="G17" s="1">
        <v>9.3800000000000008</v>
      </c>
      <c r="H17" s="1">
        <v>11.808</v>
      </c>
      <c r="J17" s="1"/>
      <c r="K17" s="1"/>
      <c r="L17" s="1"/>
      <c r="M17" s="1"/>
      <c r="N17" s="1"/>
    </row>
    <row r="18" spans="1:16" x14ac:dyDescent="0.2">
      <c r="C18" t="s">
        <v>11</v>
      </c>
      <c r="D18" s="1">
        <v>9.9664999999999999</v>
      </c>
      <c r="E18" s="1">
        <v>9.0414999999999992</v>
      </c>
      <c r="F18" s="1">
        <v>0</v>
      </c>
      <c r="G18" s="1">
        <v>16.087499999999999</v>
      </c>
      <c r="H18" s="1">
        <v>14.9345</v>
      </c>
      <c r="J18" s="1"/>
      <c r="K18" s="1"/>
      <c r="L18" s="1"/>
      <c r="M18" s="1"/>
      <c r="N18" s="1"/>
    </row>
    <row r="19" spans="1:16" x14ac:dyDescent="0.2">
      <c r="C19" t="s">
        <v>12</v>
      </c>
      <c r="D19" s="1">
        <v>10.444000000000001</v>
      </c>
      <c r="E19" s="1">
        <v>5.4050000000000002</v>
      </c>
      <c r="F19" s="1">
        <v>0</v>
      </c>
      <c r="G19" s="1">
        <v>16.102</v>
      </c>
      <c r="H19" s="1">
        <v>8.7010000000000005</v>
      </c>
      <c r="J19" s="1"/>
      <c r="K19" s="1"/>
      <c r="L19" s="1"/>
      <c r="M19" s="1"/>
      <c r="N19" s="1"/>
    </row>
    <row r="26" spans="1:16" x14ac:dyDescent="0.2">
      <c r="A26" t="s">
        <v>13</v>
      </c>
      <c r="B26" t="s">
        <v>14</v>
      </c>
      <c r="C26" t="s">
        <v>15</v>
      </c>
      <c r="D26" t="s">
        <v>2</v>
      </c>
      <c r="E26" t="s">
        <v>3</v>
      </c>
      <c r="F26" t="s">
        <v>4</v>
      </c>
      <c r="G26" t="s">
        <v>1</v>
      </c>
      <c r="H26" t="s">
        <v>0</v>
      </c>
      <c r="J26" t="s">
        <v>17</v>
      </c>
      <c r="K26" t="s">
        <v>18</v>
      </c>
      <c r="M26" t="s">
        <v>20</v>
      </c>
      <c r="N26" t="s">
        <v>21</v>
      </c>
      <c r="P26" t="s">
        <v>19</v>
      </c>
    </row>
    <row r="27" spans="1:16" x14ac:dyDescent="0.2">
      <c r="A27" s="2" t="s">
        <v>5</v>
      </c>
      <c r="B27" t="s">
        <v>8</v>
      </c>
      <c r="C27" t="s">
        <v>10</v>
      </c>
      <c r="D27" s="1">
        <v>279307</v>
      </c>
      <c r="E27" s="1">
        <v>314717</v>
      </c>
      <c r="F27" s="1">
        <v>0</v>
      </c>
      <c r="G27" s="1">
        <v>263219.5</v>
      </c>
      <c r="H27" s="1">
        <v>297666.5</v>
      </c>
      <c r="J27" s="3">
        <f>G27/D27-1</f>
        <v>-5.7597911974995308E-2</v>
      </c>
      <c r="K27" s="3">
        <f>H27/E27-1</f>
        <v>-5.4177244953402592E-2</v>
      </c>
      <c r="M27" s="3">
        <f>E27/D27</f>
        <v>1.126778061416291</v>
      </c>
      <c r="N27" s="3">
        <f>H27/G27</f>
        <v>1.1308679638096721</v>
      </c>
      <c r="O27" s="3">
        <f>N27-M27</f>
        <v>4.0899023933811396E-3</v>
      </c>
      <c r="P27">
        <v>1</v>
      </c>
    </row>
    <row r="28" spans="1:16" x14ac:dyDescent="0.2">
      <c r="A28" s="2"/>
      <c r="C28" t="s">
        <v>11</v>
      </c>
      <c r="D28" s="1">
        <v>28504</v>
      </c>
      <c r="E28" s="1">
        <v>46981</v>
      </c>
      <c r="F28" s="1">
        <f>F27</f>
        <v>0</v>
      </c>
      <c r="G28" s="1">
        <v>31336</v>
      </c>
      <c r="H28" s="1">
        <v>52465</v>
      </c>
      <c r="J28" s="3">
        <f t="shared" ref="J28:J44" si="0">G28/D28-1</f>
        <v>9.9354476564692762E-2</v>
      </c>
      <c r="K28" s="3">
        <f t="shared" ref="K28:K44" si="1">H28/E28-1</f>
        <v>0.11672803899448714</v>
      </c>
      <c r="M28" s="3">
        <f t="shared" ref="M28:M44" si="2">E28/D28</f>
        <v>1.6482248105529049</v>
      </c>
      <c r="N28" s="3">
        <f t="shared" ref="N28:N44" si="3">H28/G28</f>
        <v>1.6742724023487363</v>
      </c>
      <c r="O28" s="3">
        <f t="shared" ref="O28:O44" si="4">N28-M28</f>
        <v>2.6047591795831382E-2</v>
      </c>
      <c r="P28">
        <v>1</v>
      </c>
    </row>
    <row r="29" spans="1:16" x14ac:dyDescent="0.2">
      <c r="A29" s="2"/>
      <c r="C29" t="s">
        <v>12</v>
      </c>
      <c r="D29" s="1">
        <v>152077.5</v>
      </c>
      <c r="E29" s="1">
        <v>88710.5</v>
      </c>
      <c r="F29" s="1">
        <f t="shared" ref="F29:F43" si="5">F28</f>
        <v>0</v>
      </c>
      <c r="G29" s="1">
        <v>153403</v>
      </c>
      <c r="H29" s="1">
        <v>103447</v>
      </c>
      <c r="J29" s="3">
        <f t="shared" si="0"/>
        <v>8.715950748795942E-3</v>
      </c>
      <c r="K29" s="3">
        <f t="shared" si="1"/>
        <v>0.16611900507831656</v>
      </c>
      <c r="M29" s="3">
        <f t="shared" si="2"/>
        <v>0.58332429189064783</v>
      </c>
      <c r="N29" s="3">
        <f t="shared" si="3"/>
        <v>0.67434795929675428</v>
      </c>
      <c r="O29" s="3">
        <f t="shared" si="4"/>
        <v>9.1023667406106457E-2</v>
      </c>
      <c r="P29">
        <v>1</v>
      </c>
    </row>
    <row r="30" spans="1:16" x14ac:dyDescent="0.2">
      <c r="A30" s="2"/>
      <c r="B30" t="s">
        <v>9</v>
      </c>
      <c r="C30" t="s">
        <v>10</v>
      </c>
      <c r="D30" s="1">
        <v>39288</v>
      </c>
      <c r="E30" s="1">
        <v>44731</v>
      </c>
      <c r="F30" s="1">
        <f t="shared" si="5"/>
        <v>0</v>
      </c>
      <c r="G30" s="1">
        <v>37725</v>
      </c>
      <c r="H30" s="1">
        <v>45804</v>
      </c>
      <c r="J30" s="3">
        <f t="shared" si="0"/>
        <v>-3.9783139890042785E-2</v>
      </c>
      <c r="K30" s="3">
        <f t="shared" si="1"/>
        <v>2.3987838411839713E-2</v>
      </c>
      <c r="M30" s="3">
        <f t="shared" si="2"/>
        <v>1.1385410303400529</v>
      </c>
      <c r="N30" s="3">
        <f t="shared" si="3"/>
        <v>1.214155069582505</v>
      </c>
      <c r="O30" s="3">
        <f t="shared" si="4"/>
        <v>7.5614039242452025E-2</v>
      </c>
      <c r="P30">
        <v>1</v>
      </c>
    </row>
    <row r="31" spans="1:16" x14ac:dyDescent="0.2">
      <c r="A31" s="2"/>
      <c r="C31" t="s">
        <v>11</v>
      </c>
      <c r="D31" s="1">
        <v>50000</v>
      </c>
      <c r="E31" s="1">
        <v>45046</v>
      </c>
      <c r="F31" s="1">
        <f t="shared" si="5"/>
        <v>0</v>
      </c>
      <c r="G31" s="1">
        <v>66843</v>
      </c>
      <c r="H31" s="1">
        <v>63357</v>
      </c>
      <c r="J31" s="3">
        <f t="shared" si="0"/>
        <v>0.33685999999999994</v>
      </c>
      <c r="K31" s="3">
        <f t="shared" si="1"/>
        <v>0.40649558229365534</v>
      </c>
      <c r="M31" s="3">
        <f t="shared" si="2"/>
        <v>0.90092000000000005</v>
      </c>
      <c r="N31" s="3">
        <f t="shared" si="3"/>
        <v>0.94784794219289981</v>
      </c>
      <c r="O31" s="3">
        <f t="shared" si="4"/>
        <v>4.6927942192899752E-2</v>
      </c>
      <c r="P31">
        <v>1</v>
      </c>
    </row>
    <row r="32" spans="1:16" x14ac:dyDescent="0.2">
      <c r="A32" s="2"/>
      <c r="C32" t="s">
        <v>12</v>
      </c>
      <c r="D32" s="1">
        <v>110911</v>
      </c>
      <c r="E32" s="1">
        <v>67112</v>
      </c>
      <c r="F32" s="1">
        <f t="shared" si="5"/>
        <v>0</v>
      </c>
      <c r="G32" s="1">
        <v>143782</v>
      </c>
      <c r="H32" s="1">
        <v>88865</v>
      </c>
      <c r="J32" s="3">
        <f t="shared" si="0"/>
        <v>0.29637276735400464</v>
      </c>
      <c r="K32" s="3">
        <f t="shared" si="1"/>
        <v>0.32412981285016085</v>
      </c>
      <c r="M32" s="3">
        <f t="shared" si="2"/>
        <v>0.60509778110376788</v>
      </c>
      <c r="N32" s="3">
        <f t="shared" si="3"/>
        <v>0.61805372021532601</v>
      </c>
      <c r="O32" s="3">
        <f t="shared" si="4"/>
        <v>1.2955939111558123E-2</v>
      </c>
      <c r="P32">
        <v>1</v>
      </c>
    </row>
    <row r="33" spans="1:16" x14ac:dyDescent="0.2">
      <c r="A33" s="2" t="s">
        <v>6</v>
      </c>
      <c r="B33" t="s">
        <v>8</v>
      </c>
      <c r="C33" t="s">
        <v>10</v>
      </c>
      <c r="D33" s="1">
        <v>48766</v>
      </c>
      <c r="E33" s="1">
        <v>55360</v>
      </c>
      <c r="F33" s="1">
        <f t="shared" si="5"/>
        <v>0</v>
      </c>
      <c r="G33" s="1">
        <v>37089</v>
      </c>
      <c r="H33" s="1">
        <v>43060</v>
      </c>
      <c r="J33" s="3">
        <f t="shared" si="0"/>
        <v>-0.23944961653611119</v>
      </c>
      <c r="K33" s="3">
        <f t="shared" si="1"/>
        <v>-0.22218208092485547</v>
      </c>
      <c r="M33" s="3">
        <f t="shared" si="2"/>
        <v>1.1352171594963705</v>
      </c>
      <c r="N33" s="3">
        <f t="shared" si="3"/>
        <v>1.1609911294453881</v>
      </c>
      <c r="O33" s="3">
        <f t="shared" si="4"/>
        <v>2.5773969949017594E-2</v>
      </c>
      <c r="P33">
        <v>1</v>
      </c>
    </row>
    <row r="34" spans="1:16" x14ac:dyDescent="0.2">
      <c r="A34" s="2"/>
      <c r="C34" t="s">
        <v>11</v>
      </c>
      <c r="D34" s="1">
        <v>9302</v>
      </c>
      <c r="E34" s="1">
        <v>12467</v>
      </c>
      <c r="F34" s="1">
        <f t="shared" si="5"/>
        <v>0</v>
      </c>
      <c r="G34" s="1">
        <v>8561</v>
      </c>
      <c r="H34" s="1">
        <v>13614</v>
      </c>
      <c r="J34" s="3">
        <f t="shared" si="0"/>
        <v>-7.9660288110083854E-2</v>
      </c>
      <c r="K34" s="3">
        <f t="shared" si="1"/>
        <v>9.2002887623325647E-2</v>
      </c>
      <c r="M34" s="3">
        <f t="shared" si="2"/>
        <v>1.3402494087293055</v>
      </c>
      <c r="N34" s="3">
        <f t="shared" si="3"/>
        <v>1.5902347856558814</v>
      </c>
      <c r="O34" s="3">
        <f t="shared" si="4"/>
        <v>0.24998537692657585</v>
      </c>
      <c r="P34">
        <v>1</v>
      </c>
    </row>
    <row r="35" spans="1:16" x14ac:dyDescent="0.2">
      <c r="A35" s="2"/>
      <c r="C35" t="s">
        <v>12</v>
      </c>
      <c r="D35" s="1">
        <v>30248.5</v>
      </c>
      <c r="E35" s="1">
        <v>17673.5</v>
      </c>
      <c r="F35" s="1">
        <f t="shared" si="5"/>
        <v>0</v>
      </c>
      <c r="G35" s="1">
        <v>29136.5</v>
      </c>
      <c r="H35" s="1">
        <v>20428.5</v>
      </c>
      <c r="J35" s="3">
        <f t="shared" si="0"/>
        <v>-3.6762153495214611E-2</v>
      </c>
      <c r="K35" s="3">
        <f t="shared" si="1"/>
        <v>0.15588310181910781</v>
      </c>
      <c r="M35" s="3">
        <f t="shared" si="2"/>
        <v>0.58427690629287399</v>
      </c>
      <c r="N35" s="3">
        <f t="shared" si="3"/>
        <v>0.70113088394282086</v>
      </c>
      <c r="O35" s="3">
        <f t="shared" si="4"/>
        <v>0.11685397764994687</v>
      </c>
      <c r="P35">
        <v>1</v>
      </c>
    </row>
    <row r="36" spans="1:16" x14ac:dyDescent="0.2">
      <c r="A36" s="2"/>
      <c r="B36" t="s">
        <v>9</v>
      </c>
      <c r="C36" t="s">
        <v>10</v>
      </c>
      <c r="D36" s="1">
        <v>5528</v>
      </c>
      <c r="E36" s="1">
        <v>5436</v>
      </c>
      <c r="F36" s="1">
        <f t="shared" si="5"/>
        <v>0</v>
      </c>
      <c r="G36" s="1">
        <v>5487</v>
      </c>
      <c r="H36" s="1">
        <v>6061</v>
      </c>
      <c r="J36" s="3">
        <f t="shared" si="0"/>
        <v>-7.4167872648335242E-3</v>
      </c>
      <c r="K36" s="3">
        <f t="shared" si="1"/>
        <v>0.11497424576894777</v>
      </c>
      <c r="M36" s="3">
        <f t="shared" si="2"/>
        <v>0.98335745296671495</v>
      </c>
      <c r="N36" s="3">
        <f t="shared" si="3"/>
        <v>1.1046108984873337</v>
      </c>
      <c r="O36" s="3">
        <f t="shared" si="4"/>
        <v>0.12125344552061879</v>
      </c>
      <c r="P36">
        <v>1</v>
      </c>
    </row>
    <row r="37" spans="1:16" x14ac:dyDescent="0.2">
      <c r="A37" s="2"/>
      <c r="C37" t="s">
        <v>11</v>
      </c>
      <c r="D37" s="1">
        <v>10868</v>
      </c>
      <c r="E37" s="1">
        <v>6707</v>
      </c>
      <c r="F37" s="1">
        <f t="shared" si="5"/>
        <v>0</v>
      </c>
      <c r="G37" s="1">
        <v>11491.5</v>
      </c>
      <c r="H37" s="1">
        <v>8285.5</v>
      </c>
      <c r="J37" s="3">
        <f t="shared" si="0"/>
        <v>5.7370261317629678E-2</v>
      </c>
      <c r="K37" s="3">
        <f t="shared" si="1"/>
        <v>0.23535112568957794</v>
      </c>
      <c r="M37" s="3">
        <f t="shared" si="2"/>
        <v>0.61713286713286708</v>
      </c>
      <c r="N37" s="3">
        <f t="shared" si="3"/>
        <v>0.72101118217813165</v>
      </c>
      <c r="O37" s="3">
        <f t="shared" si="4"/>
        <v>0.10387831504526457</v>
      </c>
      <c r="P37">
        <v>1</v>
      </c>
    </row>
    <row r="38" spans="1:16" x14ac:dyDescent="0.2">
      <c r="A38" s="2"/>
      <c r="C38" t="s">
        <v>12</v>
      </c>
      <c r="D38" s="1">
        <v>19951</v>
      </c>
      <c r="E38" s="1">
        <v>7669</v>
      </c>
      <c r="F38" s="1">
        <f t="shared" si="5"/>
        <v>0</v>
      </c>
      <c r="G38" s="1">
        <v>24600</v>
      </c>
      <c r="H38" s="1">
        <v>10693</v>
      </c>
      <c r="J38" s="3">
        <f t="shared" si="0"/>
        <v>0.2330209012079596</v>
      </c>
      <c r="K38" s="3">
        <f t="shared" si="1"/>
        <v>0.39431477376450652</v>
      </c>
      <c r="M38" s="3">
        <f t="shared" si="2"/>
        <v>0.38439175981153828</v>
      </c>
      <c r="N38" s="3">
        <f t="shared" si="3"/>
        <v>0.4346747967479675</v>
      </c>
      <c r="O38" s="3">
        <f t="shared" si="4"/>
        <v>5.0283036936429215E-2</v>
      </c>
      <c r="P38">
        <v>1</v>
      </c>
    </row>
    <row r="39" spans="1:16" x14ac:dyDescent="0.2">
      <c r="A39" s="2" t="s">
        <v>7</v>
      </c>
      <c r="B39" t="s">
        <v>8</v>
      </c>
      <c r="C39" t="s">
        <v>10</v>
      </c>
      <c r="D39" s="1">
        <v>63596</v>
      </c>
      <c r="E39" s="1">
        <v>70372</v>
      </c>
      <c r="F39" s="1">
        <f t="shared" si="5"/>
        <v>0</v>
      </c>
      <c r="G39" s="1">
        <v>67039</v>
      </c>
      <c r="H39" s="1">
        <v>73674</v>
      </c>
      <c r="J39" s="3">
        <f t="shared" si="0"/>
        <v>5.4138625070759172E-2</v>
      </c>
      <c r="K39" s="3">
        <f t="shared" si="1"/>
        <v>4.6922071278349353E-2</v>
      </c>
      <c r="M39" s="3">
        <f t="shared" si="2"/>
        <v>1.1065475816089063</v>
      </c>
      <c r="N39" s="3">
        <f t="shared" si="3"/>
        <v>1.09897224003938</v>
      </c>
      <c r="O39" s="3">
        <f t="shared" si="4"/>
        <v>-7.5753415695263282E-3</v>
      </c>
      <c r="P39">
        <v>1</v>
      </c>
    </row>
    <row r="40" spans="1:16" x14ac:dyDescent="0.2">
      <c r="A40" s="2"/>
      <c r="C40" t="s">
        <v>11</v>
      </c>
      <c r="D40" s="1">
        <v>7041.5</v>
      </c>
      <c r="E40" s="1">
        <v>10147.5</v>
      </c>
      <c r="F40" s="1">
        <f t="shared" si="5"/>
        <v>0</v>
      </c>
      <c r="G40" s="1">
        <v>7773</v>
      </c>
      <c r="H40" s="1">
        <v>12186</v>
      </c>
      <c r="J40" s="3">
        <f t="shared" si="0"/>
        <v>0.10388411560036914</v>
      </c>
      <c r="K40" s="3">
        <f t="shared" si="1"/>
        <v>0.20088691796008873</v>
      </c>
      <c r="M40" s="3">
        <f t="shared" si="2"/>
        <v>1.4410991976141447</v>
      </c>
      <c r="N40" s="3">
        <f t="shared" si="3"/>
        <v>1.5677344654573524</v>
      </c>
      <c r="O40" s="3">
        <f t="shared" si="4"/>
        <v>0.12663526784320767</v>
      </c>
      <c r="P40">
        <v>1</v>
      </c>
    </row>
    <row r="41" spans="1:16" x14ac:dyDescent="0.2">
      <c r="A41" s="2"/>
      <c r="C41" t="s">
        <v>12</v>
      </c>
      <c r="D41" s="1">
        <v>15741</v>
      </c>
      <c r="E41" s="1">
        <v>8566</v>
      </c>
      <c r="F41" s="1">
        <f t="shared" si="5"/>
        <v>0</v>
      </c>
      <c r="G41" s="1">
        <v>19211</v>
      </c>
      <c r="H41" s="1">
        <v>11633</v>
      </c>
      <c r="J41" s="3">
        <f t="shared" si="0"/>
        <v>0.2204434279905978</v>
      </c>
      <c r="K41" s="3">
        <f t="shared" si="1"/>
        <v>0.35804342750408602</v>
      </c>
      <c r="M41" s="3">
        <f t="shared" si="2"/>
        <v>0.54418397814624231</v>
      </c>
      <c r="N41" s="3">
        <f t="shared" si="3"/>
        <v>0.60553849357139145</v>
      </c>
      <c r="O41" s="3">
        <f t="shared" si="4"/>
        <v>6.1354515425149136E-2</v>
      </c>
      <c r="P41">
        <v>1</v>
      </c>
    </row>
    <row r="42" spans="1:16" x14ac:dyDescent="0.2">
      <c r="A42" s="2"/>
      <c r="B42" t="s">
        <v>9</v>
      </c>
      <c r="C42" t="s">
        <v>10</v>
      </c>
      <c r="D42" s="1">
        <v>7400</v>
      </c>
      <c r="E42" s="1">
        <v>8955</v>
      </c>
      <c r="F42" s="1">
        <f t="shared" si="5"/>
        <v>0</v>
      </c>
      <c r="G42" s="1">
        <v>9380</v>
      </c>
      <c r="H42" s="1">
        <v>11808</v>
      </c>
      <c r="J42" s="3">
        <f t="shared" si="0"/>
        <v>0.2675675675675675</v>
      </c>
      <c r="K42" s="3">
        <f t="shared" si="1"/>
        <v>0.31859296482412058</v>
      </c>
      <c r="M42" s="3">
        <f t="shared" si="2"/>
        <v>1.210135135135135</v>
      </c>
      <c r="N42" s="3">
        <f t="shared" si="3"/>
        <v>1.2588486140724946</v>
      </c>
      <c r="O42" s="3">
        <f t="shared" si="4"/>
        <v>4.8713478937359556E-2</v>
      </c>
      <c r="P42">
        <v>1</v>
      </c>
    </row>
    <row r="43" spans="1:16" x14ac:dyDescent="0.2">
      <c r="C43" t="s">
        <v>11</v>
      </c>
      <c r="D43" s="1">
        <v>9966.5</v>
      </c>
      <c r="E43" s="1">
        <v>9041.5</v>
      </c>
      <c r="F43" s="1">
        <f t="shared" si="5"/>
        <v>0</v>
      </c>
      <c r="G43" s="1">
        <v>16087.5</v>
      </c>
      <c r="H43" s="1">
        <v>14934.5</v>
      </c>
      <c r="J43" s="3">
        <f t="shared" si="0"/>
        <v>0.61415742738172874</v>
      </c>
      <c r="K43" s="3">
        <f t="shared" si="1"/>
        <v>0.65177238290106732</v>
      </c>
      <c r="M43" s="3">
        <f t="shared" si="2"/>
        <v>0.90718908342948879</v>
      </c>
      <c r="N43" s="3">
        <f t="shared" si="3"/>
        <v>0.9283294483294483</v>
      </c>
      <c r="O43" s="3">
        <f t="shared" si="4"/>
        <v>2.1140364899959518E-2</v>
      </c>
      <c r="P43">
        <v>1</v>
      </c>
    </row>
    <row r="44" spans="1:16" x14ac:dyDescent="0.2">
      <c r="C44" t="s">
        <v>12</v>
      </c>
      <c r="D44" s="1">
        <v>10444</v>
      </c>
      <c r="E44" s="1">
        <v>5405</v>
      </c>
      <c r="F44" s="1">
        <f>F43</f>
        <v>0</v>
      </c>
      <c r="G44" s="1">
        <v>16102</v>
      </c>
      <c r="H44" s="1">
        <v>8701</v>
      </c>
      <c r="J44" s="3">
        <f t="shared" si="0"/>
        <v>0.54174645729605508</v>
      </c>
      <c r="K44" s="3">
        <f t="shared" si="1"/>
        <v>0.60980573543015737</v>
      </c>
      <c r="M44" s="3">
        <f t="shared" si="2"/>
        <v>0.51752202221371124</v>
      </c>
      <c r="N44" s="3">
        <f t="shared" si="3"/>
        <v>0.5403676561917774</v>
      </c>
      <c r="O44" s="3">
        <f t="shared" si="4"/>
        <v>2.284563397806616E-2</v>
      </c>
      <c r="P44">
        <v>1</v>
      </c>
    </row>
    <row r="45" spans="1:16" x14ac:dyDescent="0.2">
      <c r="D45" s="1">
        <f>SUM(D27:D44)</f>
        <v>898940</v>
      </c>
      <c r="E45" s="1">
        <f t="shared" ref="E45:H45" si="6">SUM(E27:E44)</f>
        <v>825097</v>
      </c>
      <c r="F45" s="1">
        <f t="shared" si="6"/>
        <v>0</v>
      </c>
      <c r="G45" s="1">
        <f t="shared" si="6"/>
        <v>948266</v>
      </c>
      <c r="H45" s="1">
        <f t="shared" si="6"/>
        <v>886683</v>
      </c>
      <c r="J45" s="3"/>
      <c r="K45" s="3"/>
      <c r="M45" s="3"/>
      <c r="N45" s="3"/>
      <c r="O45" s="3"/>
    </row>
    <row r="46" spans="1:16" x14ac:dyDescent="0.2">
      <c r="G46">
        <f>G45/D45-1</f>
        <v>5.4871292856030429E-2</v>
      </c>
      <c r="H46">
        <f>H45/E45-1</f>
        <v>7.4640921006863481E-2</v>
      </c>
    </row>
    <row r="47" spans="1:16" x14ac:dyDescent="0.2">
      <c r="E47" s="1">
        <f>D45+E45</f>
        <v>1724037</v>
      </c>
      <c r="H47" s="1">
        <f>G45+H45</f>
        <v>1834949</v>
      </c>
    </row>
    <row r="48" spans="1:16" x14ac:dyDescent="0.2">
      <c r="H48">
        <f>H47/E47-1</f>
        <v>6.4332726037782173E-2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Han, Xuehui</dc:creator>
  <cp:lastModifiedBy>Han, Xuehui</cp:lastModifiedBy>
  <dcterms:created xsi:type="dcterms:W3CDTF">2024-02-03T02:48:45Z</dcterms:created>
  <dcterms:modified xsi:type="dcterms:W3CDTF">2025-06-29T14:20:56Z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2024-02-03T03:15:26Z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818a80e2-6522-4c5c-a4c1-65cdc27e4b60</vt:lpwstr>
  </property>
  <property fmtid="{D5CDD505-2E9C-101B-9397-08002B2CF9AE}" pid="8" name="MSIP_Label_0c07ed86-5dc5-4593-ad03-a8684b843815_ContentBits">
    <vt:lpwstr>0</vt:lpwstr>
  </property>
</Properties>
</file>