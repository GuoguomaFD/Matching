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lmonetaryfund-my.sharepoint.com/personal/xhan_imf_org/Documents/QianYuanHan89/2021/Code and Data for submission/"/>
    </mc:Choice>
  </mc:AlternateContent>
  <xr:revisionPtr revIDLastSave="407" documentId="14_{B0E05329-263D-40C9-BD78-7E8C49EFE3DE}" xr6:coauthVersionLast="47" xr6:coauthVersionMax="47" xr10:uidLastSave="{21A7DB85-3A90-46B0-B8C1-910C247B52BA}"/>
  <bookViews>
    <workbookView xWindow="-120" yWindow="-120" windowWidth="51840" windowHeight="21120" firstSheet="10" activeTab="14" xr2:uid="{4800D22A-01F1-427A-B4B2-62826008D56A}"/>
  </bookViews>
  <sheets>
    <sheet name="CijEst2019" sheetId="4" r:id="rId1"/>
    <sheet name="CijEst2019and2010 Vertical" sheetId="21" r:id="rId2"/>
    <sheet name="CijEst2010" sheetId="8" r:id="rId3"/>
    <sheet name="PrefChange2019" sheetId="14" r:id="rId4"/>
    <sheet name="ChoiceSet1910" sheetId="11" r:id="rId5"/>
    <sheet name="ChoiceSetduetoFemales" sheetId="15" r:id="rId6"/>
    <sheet name="ChoiceSetduetoMales" sheetId="16" r:id="rId7"/>
    <sheet name="Transferij2019" sheetId="17" r:id="rId8"/>
    <sheet name="Transferij2010" sheetId="18" r:id="rId9"/>
    <sheet name="TransferChange1910" sheetId="19" r:id="rId10"/>
    <sheet name="Plot Logan " sheetId="20" r:id="rId11"/>
    <sheet name="2019 Raw Statistics Unweighted" sheetId="22" r:id="rId12"/>
    <sheet name="2019 Statistics Weighted" sheetId="23" r:id="rId13"/>
    <sheet name="2010 Raw Statistics Unweighted" sheetId="24" r:id="rId14"/>
    <sheet name="2010 Statistics Weighted" sheetId="25" r:id="rId15"/>
    <sheet name="TEMPLATE 1" sheetId="7" r:id="rId16"/>
    <sheet name="TEMPLATE" sheetId="2" r:id="rId17"/>
    <sheet name="TEMPLATE (2)" sheetId="3" r:id="rId18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5" i="21" l="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Y22" i="21"/>
  <c r="Y21" i="21"/>
  <c r="Y20" i="21"/>
  <c r="Y19" i="21"/>
  <c r="Y18" i="21"/>
  <c r="Y17" i="21"/>
  <c r="Y16" i="21"/>
  <c r="Y15" i="21"/>
  <c r="Y14" i="21"/>
  <c r="Y13" i="21"/>
  <c r="Y12" i="21"/>
  <c r="Y11" i="21"/>
  <c r="Y10" i="21"/>
  <c r="Y9" i="21"/>
  <c r="Y8" i="21"/>
  <c r="Y7" i="21"/>
  <c r="Y6" i="21"/>
  <c r="Y5" i="21"/>
  <c r="O24" i="17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X22" i="16"/>
  <c r="X21" i="16"/>
  <c r="X20" i="16"/>
  <c r="X19" i="16"/>
  <c r="X18" i="16"/>
  <c r="X17" i="16"/>
  <c r="X16" i="16"/>
  <c r="X15" i="16"/>
  <c r="X14" i="16"/>
  <c r="X13" i="16"/>
  <c r="X12" i="16"/>
  <c r="X11" i="16"/>
  <c r="X10" i="16"/>
  <c r="X9" i="16"/>
  <c r="X8" i="16"/>
  <c r="X7" i="16"/>
  <c r="X6" i="16"/>
  <c r="X5" i="16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X24" i="15" s="1"/>
  <c r="X22" i="15"/>
  <c r="X21" i="15"/>
  <c r="X20" i="15"/>
  <c r="X19" i="15"/>
  <c r="X18" i="15"/>
  <c r="X17" i="15"/>
  <c r="X16" i="15"/>
  <c r="X15" i="15"/>
  <c r="X14" i="15"/>
  <c r="X13" i="15"/>
  <c r="X12" i="15"/>
  <c r="X11" i="15"/>
  <c r="X10" i="15"/>
  <c r="X9" i="15"/>
  <c r="X8" i="15"/>
  <c r="X7" i="15"/>
  <c r="X6" i="15"/>
  <c r="X5" i="15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X22" i="14"/>
  <c r="X21" i="14"/>
  <c r="X20" i="14"/>
  <c r="X19" i="14"/>
  <c r="X18" i="14"/>
  <c r="X17" i="14"/>
  <c r="X16" i="14"/>
  <c r="X15" i="14"/>
  <c r="X14" i="14"/>
  <c r="X13" i="14"/>
  <c r="X12" i="14"/>
  <c r="X11" i="14"/>
  <c r="X10" i="14"/>
  <c r="X9" i="14"/>
  <c r="X8" i="14"/>
  <c r="X7" i="14"/>
  <c r="X6" i="14"/>
  <c r="X5" i="14"/>
  <c r="X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X22" i="11"/>
  <c r="X21" i="11"/>
  <c r="X20" i="11"/>
  <c r="X19" i="11"/>
  <c r="X18" i="11"/>
  <c r="X17" i="11"/>
  <c r="X16" i="11"/>
  <c r="X15" i="11"/>
  <c r="X14" i="11"/>
  <c r="X13" i="11"/>
  <c r="X12" i="11"/>
  <c r="X11" i="11"/>
  <c r="X10" i="11"/>
  <c r="X9" i="11"/>
  <c r="X8" i="11"/>
  <c r="X7" i="11"/>
  <c r="X6" i="11"/>
  <c r="X5" i="11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2" i="8"/>
  <c r="Y5" i="8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5" i="4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E25" i="4"/>
  <c r="X24" i="16" l="1"/>
  <c r="X24" i="14"/>
</calcChain>
</file>

<file path=xl/sharedStrings.xml><?xml version="1.0" encoding="utf-8"?>
<sst xmlns="http://schemas.openxmlformats.org/spreadsheetml/2006/main" count="1361" uniqueCount="83">
  <si>
    <t>Female</t>
  </si>
  <si>
    <t>White</t>
  </si>
  <si>
    <t>Black</t>
  </si>
  <si>
    <t>Others</t>
  </si>
  <si>
    <t>High School</t>
  </si>
  <si>
    <t>College</t>
  </si>
  <si>
    <t>Middle</t>
  </si>
  <si>
    <t>Older</t>
  </si>
  <si>
    <t>24-38 year old</t>
  </si>
  <si>
    <t>Younger than 24</t>
  </si>
  <si>
    <t>Older than 38</t>
  </si>
  <si>
    <t>Younger</t>
  </si>
  <si>
    <t>Male</t>
  </si>
  <si>
    <t>Younger than 26</t>
  </si>
  <si>
    <t>26-42 year old</t>
  </si>
  <si>
    <t>Older than 42</t>
  </si>
  <si>
    <t>Colume Max</t>
  </si>
  <si>
    <t>Row Max</t>
  </si>
  <si>
    <t>Survey 2019</t>
  </si>
  <si>
    <t>Survey 2010</t>
  </si>
  <si>
    <t>Net changes of marriages of males</t>
  </si>
  <si>
    <t>Net changes of marriages of females</t>
  </si>
  <si>
    <t>del</t>
  </si>
  <si>
    <t xml:space="preserve">Note: across female groups, the numbers only differ in the sixth decimal. </t>
  </si>
  <si>
    <t>Utility</t>
  </si>
  <si>
    <t>Refer to program</t>
  </si>
  <si>
    <t>White&amp;HS&amp;Middle</t>
  </si>
  <si>
    <t>White&amp;HS&amp;Older</t>
  </si>
  <si>
    <t>White&amp;HS&amp;Younger</t>
  </si>
  <si>
    <t>White&amp;College&amp;Younger</t>
  </si>
  <si>
    <t>White&amp;College&amp;Middle</t>
  </si>
  <si>
    <t>White&amp;College&amp;Older</t>
  </si>
  <si>
    <t>Black&amp;HS&amp;Younger</t>
  </si>
  <si>
    <t>Black&amp;HS&amp;Middle</t>
  </si>
  <si>
    <t>Black&amp;HS&amp;Older</t>
  </si>
  <si>
    <t>Black&amp;College&amp;Younger</t>
  </si>
  <si>
    <t>Black&amp;College&amp;Middle</t>
  </si>
  <si>
    <t>Black&amp;College&amp;Older</t>
  </si>
  <si>
    <t>Others&amp;HS&amp;Younger</t>
  </si>
  <si>
    <t>Others&amp;HS&amp;Middle</t>
  </si>
  <si>
    <t>Others&amp;HS&amp;Older</t>
  </si>
  <si>
    <t>Others&amp;College&amp;Younger</t>
  </si>
  <si>
    <t>Others&amp;College&amp;Middle</t>
  </si>
  <si>
    <t>Male: White&amp;HS&amp;Younger</t>
  </si>
  <si>
    <t>Male: White&amp;HS&amp;Middle</t>
  </si>
  <si>
    <t>Male: White&amp;College&amp;Younger</t>
  </si>
  <si>
    <t>Male: White&amp;College&amp;Middle</t>
  </si>
  <si>
    <t>Male: Black&amp;HS&amp;Younger</t>
  </si>
  <si>
    <t>Male: Black&amp;HS&amp;Middle</t>
  </si>
  <si>
    <t>Male: Black&amp;College&amp;Younger</t>
  </si>
  <si>
    <t>Male: Black&amp;College&amp;Middle</t>
  </si>
  <si>
    <t>Male: Others&amp;HS&amp;Younger</t>
  </si>
  <si>
    <t>Male: Others&amp;HS&amp;Middle</t>
  </si>
  <si>
    <t>Male: Others&amp;College&amp;Younger</t>
  </si>
  <si>
    <t>Male: Others&amp;College&amp;Middle</t>
  </si>
  <si>
    <t>Male:White&amp;HS&amp;Older</t>
  </si>
  <si>
    <t>Male:White&amp;College&amp;Older</t>
  </si>
  <si>
    <t>Male:Black&amp;HS&amp;Older</t>
  </si>
  <si>
    <t>Male:Black&amp;College&amp;Older</t>
  </si>
  <si>
    <t>Male:Others&amp;HS&amp;Older</t>
  </si>
  <si>
    <r>
      <rPr>
        <b/>
        <sz val="12"/>
        <color theme="1"/>
        <rFont val="Garamond"/>
        <family val="1"/>
      </rPr>
      <t xml:space="preserve">Female: </t>
    </r>
    <r>
      <rPr>
        <sz val="12"/>
        <color theme="1"/>
        <rFont val="Garamond"/>
        <family val="1"/>
      </rPr>
      <t>Others&amp;College&amp;Older</t>
    </r>
  </si>
  <si>
    <t>Female: Others&amp;College&amp;Older</t>
  </si>
  <si>
    <t>Male:Others&amp;College&amp;Older</t>
  </si>
  <si>
    <t>Female: Other Races, College, and Young</t>
  </si>
  <si>
    <t>2010: Male: Black, College, and Young</t>
  </si>
  <si>
    <t>Female: Black, College, and Young</t>
  </si>
  <si>
    <t>2010: Male: Other Races, College, and Young</t>
  </si>
  <si>
    <t>Selected cases</t>
  </si>
  <si>
    <t>2019: Male: Other Races, College, and Middle-Age</t>
  </si>
  <si>
    <t>Female: Other Races, College, and Middle-Age</t>
  </si>
  <si>
    <t>2010: Male: Other Races, College, and Middle-Age</t>
  </si>
  <si>
    <t>2019: Male: Black, College, and Middle-Age</t>
  </si>
  <si>
    <t>Female: Black, College, and Middle-Age</t>
  </si>
  <si>
    <t>2010: Male: Black, College, and Middle-Age</t>
  </si>
  <si>
    <t>2019: Male: Wite, College, and Middle-Age</t>
  </si>
  <si>
    <t>Female: White, College, and Middle-Age</t>
  </si>
  <si>
    <t>2010: Male: White, College, and Middle-Age</t>
  </si>
  <si>
    <t xml:space="preserve">Single Female at Beginning of the Year </t>
  </si>
  <si>
    <t xml:space="preserve">Single Male at Beginning of the Year </t>
  </si>
  <si>
    <t>Survey 2019—Unweighted</t>
  </si>
  <si>
    <t>Survey 2019—Weighted</t>
  </si>
  <si>
    <t>Survey 2010—Unweighted</t>
  </si>
  <si>
    <t>Survey 2010—Weighted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</si>
</sst>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b/>
      <sz val="12"/>
      <color theme="1"/>
      <name val="Garamond"/>
      <family val="1"/>
    </font>
    <font>
      <sz val="12"/>
      <color theme="1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indexed="64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" xfId="0" applyBorder="1"/>
    <xf numFmtId="0" fontId="0" fillId="0" borderId="15" xfId="0" applyBorder="1"/>
    <xf numFmtId="0" fontId="0" fillId="0" borderId="16" xfId="0" applyBorder="1"/>
    <xf numFmtId="0" fontId="0" fillId="0" borderId="2" xfId="0" applyBorder="1"/>
    <xf numFmtId="0" fontId="2" fillId="0" borderId="0" xfId="0" applyFont="1"/>
    <xf numFmtId="0" fontId="2" fillId="0" borderId="15" xfId="0" applyFont="1" applyBorder="1"/>
    <xf numFmtId="0" fontId="2" fillId="0" borderId="1" xfId="0" applyFont="1" applyBorder="1"/>
    <xf numFmtId="0" fontId="2" fillId="0" borderId="16" xfId="0" applyFont="1" applyBorder="1"/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2" xfId="0" applyFont="1" applyBorder="1"/>
    <xf numFmtId="0" fontId="2" fillId="0" borderId="7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2" borderId="16" xfId="0" applyNumberFormat="1" applyFont="1" applyFill="1" applyBorder="1" applyAlignment="1">
      <alignment horizontal="center"/>
    </xf>
    <xf numFmtId="164" fontId="2" fillId="2" borderId="14" xfId="0" applyNumberFormat="1" applyFont="1" applyFill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164" fontId="2" fillId="4" borderId="0" xfId="0" applyNumberFormat="1" applyFont="1" applyFill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3" borderId="17" xfId="0" applyNumberFormat="1" applyFont="1" applyFill="1" applyBorder="1" applyAlignment="1">
      <alignment horizontal="center"/>
    </xf>
    <xf numFmtId="164" fontId="2" fillId="5" borderId="14" xfId="0" applyNumberFormat="1" applyFont="1" applyFill="1" applyBorder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2" fillId="5" borderId="16" xfId="0" applyNumberFormat="1" applyFont="1" applyFill="1" applyBorder="1" applyAlignment="1">
      <alignment horizontal="center"/>
    </xf>
    <xf numFmtId="164" fontId="2" fillId="5" borderId="2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6" borderId="2" xfId="0" applyNumberFormat="1" applyFont="1" applyFill="1" applyBorder="1" applyAlignment="1">
      <alignment horizontal="center"/>
    </xf>
    <xf numFmtId="164" fontId="2" fillId="6" borderId="0" xfId="0" applyNumberFormat="1" applyFont="1" applyFill="1" applyAlignment="1">
      <alignment horizontal="center"/>
    </xf>
    <xf numFmtId="164" fontId="2" fillId="6" borderId="13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/>
    <xf numFmtId="164" fontId="2" fillId="4" borderId="14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164" fontId="2" fillId="4" borderId="13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5" fillId="0" borderId="0" xfId="0" applyFont="1"/>
    <xf numFmtId="1" fontId="2" fillId="0" borderId="1" xfId="0" applyNumberFormat="1" applyFont="1" applyBorder="1"/>
    <xf numFmtId="1" fontId="2" fillId="0" borderId="2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4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2" fillId="0" borderId="20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1" defaultTableStyle="TableStyleMedium2" defaultPivotStyle="PivotStyleLight16">
    <tableStyle name="Invisible" pivot="0" table="0" count="0" xr9:uid="{1B06B31C-5056-4F09-9598-FA2AA63FA2BA}"/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'CijEst2019and2010 Vertical'!$C$28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9"/>
              <c:layout>
                <c:manualLayout>
                  <c:x val="-1.1275546659810187E-2"/>
                  <c:y val="9.869894722771471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5-4157-9109-03819C349A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Vertical'!$A$29:$B$82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White&amp;HS&amp;Younger</c:v>
                  </c:pt>
                  <c:pt idx="18">
                    <c:v>Male: White&amp;HS&amp;Middle</c:v>
                  </c:pt>
                  <c:pt idx="36">
                    <c:v>Male:White&amp;HS&amp;Older</c:v>
                  </c:pt>
                </c:lvl>
              </c:multiLvlStrCache>
            </c:multiLvlStrRef>
          </c:cat>
          <c:val>
            <c:numRef>
              <c:f>'CijEst2019and2010 Vertical'!$C$29:$C$82</c:f>
              <c:numCache>
                <c:formatCode>0.0</c:formatCode>
                <c:ptCount val="54"/>
                <c:pt idx="0">
                  <c:v>0.62481255199999997</c:v>
                </c:pt>
                <c:pt idx="1">
                  <c:v>1.6889120049999999</c:v>
                </c:pt>
                <c:pt idx="2">
                  <c:v>3.5575066000000002E-2</c:v>
                </c:pt>
                <c:pt idx="3">
                  <c:v>2.2440844329999998</c:v>
                </c:pt>
                <c:pt idx="4">
                  <c:v>0.99977952299999995</c:v>
                </c:pt>
                <c:pt idx="5">
                  <c:v>2.389956E-2</c:v>
                </c:pt>
                <c:pt idx="6">
                  <c:v>5.4660772000000003E-2</c:v>
                </c:pt>
                <c:pt idx="7">
                  <c:v>8.0190841999999998E-2</c:v>
                </c:pt>
                <c:pt idx="8">
                  <c:v>1.1619941999999999E-2</c:v>
                </c:pt>
                <c:pt idx="9">
                  <c:v>0.30938032500000001</c:v>
                </c:pt>
                <c:pt idx="10">
                  <c:v>3.0426697999999999E-2</c:v>
                </c:pt>
                <c:pt idx="11">
                  <c:v>1.3845465E-2</c:v>
                </c:pt>
                <c:pt idx="12">
                  <c:v>0.171406324</c:v>
                </c:pt>
                <c:pt idx="13">
                  <c:v>0.36442796799999999</c:v>
                </c:pt>
                <c:pt idx="14">
                  <c:v>1.7771720000000001E-2</c:v>
                </c:pt>
                <c:pt idx="15">
                  <c:v>0.58580895799999999</c:v>
                </c:pt>
                <c:pt idx="16">
                  <c:v>0.27333233699999998</c:v>
                </c:pt>
                <c:pt idx="17">
                  <c:v>2.1348730999999999E-2</c:v>
                </c:pt>
                <c:pt idx="18">
                  <c:v>0.88430126399999998</c:v>
                </c:pt>
                <c:pt idx="19">
                  <c:v>54.127314800000001</c:v>
                </c:pt>
                <c:pt idx="20">
                  <c:v>1.8504768190000001</c:v>
                </c:pt>
                <c:pt idx="21">
                  <c:v>3.7125056569999999</c:v>
                </c:pt>
                <c:pt idx="22">
                  <c:v>35.167752389999997</c:v>
                </c:pt>
                <c:pt idx="23">
                  <c:v>1.931333988</c:v>
                </c:pt>
                <c:pt idx="24">
                  <c:v>0.107898733</c:v>
                </c:pt>
                <c:pt idx="25">
                  <c:v>2.1481015079999999</c:v>
                </c:pt>
                <c:pt idx="26">
                  <c:v>0.13811093099999999</c:v>
                </c:pt>
                <c:pt idx="27">
                  <c:v>0.36653887899999998</c:v>
                </c:pt>
                <c:pt idx="28">
                  <c:v>1.444602728</c:v>
                </c:pt>
                <c:pt idx="29">
                  <c:v>0.33139898499999998</c:v>
                </c:pt>
                <c:pt idx="30">
                  <c:v>0.29942735999999998</c:v>
                </c:pt>
                <c:pt idx="31">
                  <c:v>10.84080309</c:v>
                </c:pt>
                <c:pt idx="32">
                  <c:v>0.42571435400000002</c:v>
                </c:pt>
                <c:pt idx="33">
                  <c:v>0.43341300900000002</c:v>
                </c:pt>
                <c:pt idx="34">
                  <c:v>9.6241110639999992</c:v>
                </c:pt>
                <c:pt idx="35">
                  <c:v>1.2717615680000001</c:v>
                </c:pt>
                <c:pt idx="36">
                  <c:v>2.9986723999999999E-2</c:v>
                </c:pt>
                <c:pt idx="37">
                  <c:v>3.0315727140000002</c:v>
                </c:pt>
                <c:pt idx="38">
                  <c:v>5.3749931740000001</c:v>
                </c:pt>
                <c:pt idx="39">
                  <c:v>5.3714154E-2</c:v>
                </c:pt>
                <c:pt idx="40">
                  <c:v>1.5966643840000001</c:v>
                </c:pt>
                <c:pt idx="41">
                  <c:v>4.8650362640000004</c:v>
                </c:pt>
                <c:pt idx="42">
                  <c:v>2.6499360999999999E-2</c:v>
                </c:pt>
                <c:pt idx="43">
                  <c:v>0.47141955099999999</c:v>
                </c:pt>
                <c:pt idx="44">
                  <c:v>0.13651691699999999</c:v>
                </c:pt>
                <c:pt idx="45">
                  <c:v>0.180246717</c:v>
                </c:pt>
                <c:pt idx="46">
                  <c:v>0.177982426</c:v>
                </c:pt>
                <c:pt idx="47">
                  <c:v>0.24227136499999999</c:v>
                </c:pt>
                <c:pt idx="48">
                  <c:v>2.9426706E-2</c:v>
                </c:pt>
                <c:pt idx="49">
                  <c:v>1.3323763390000001</c:v>
                </c:pt>
                <c:pt idx="50">
                  <c:v>1.557032304</c:v>
                </c:pt>
                <c:pt idx="51">
                  <c:v>0.213299457</c:v>
                </c:pt>
                <c:pt idx="52">
                  <c:v>1.3332879529999999</c:v>
                </c:pt>
                <c:pt idx="53">
                  <c:v>2.4411439289999999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5-4157-9109-03819C349A4E}"/>
            </c:ext>
          </c:extLst>
        </c:ser>
        <c:ser>
          <c:idx val="1"/>
          <c:order val="1"/>
          <c:tx>
            <c:strRef>
              <c:f>'CijEst2019and2010 Vertical'!$D$28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9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65-4157-9109-03819C349A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Vertical'!$A$29:$B$82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White&amp;HS&amp;Younger</c:v>
                  </c:pt>
                  <c:pt idx="18">
                    <c:v>Male: White&amp;HS&amp;Middle</c:v>
                  </c:pt>
                  <c:pt idx="36">
                    <c:v>Male:White&amp;HS&amp;Older</c:v>
                  </c:pt>
                </c:lvl>
              </c:multiLvlStrCache>
            </c:multiLvlStrRef>
          </c:cat>
          <c:val>
            <c:numRef>
              <c:f>'CijEst2019and2010 Vertical'!$D$29:$D$82</c:f>
              <c:numCache>
                <c:formatCode>0.0</c:formatCode>
                <c:ptCount val="54"/>
                <c:pt idx="0">
                  <c:v>0.81630731346458896</c:v>
                </c:pt>
                <c:pt idx="1">
                  <c:v>2.5384888615196401</c:v>
                </c:pt>
                <c:pt idx="2">
                  <c:v>0.66162217164223103</c:v>
                </c:pt>
                <c:pt idx="3">
                  <c:v>1.71595655505471</c:v>
                </c:pt>
                <c:pt idx="4">
                  <c:v>2.6653997894658301E-2</c:v>
                </c:pt>
                <c:pt idx="5">
                  <c:v>2.8905730228832999E-3</c:v>
                </c:pt>
                <c:pt idx="6">
                  <c:v>1.3223775192445299E-2</c:v>
                </c:pt>
                <c:pt idx="7">
                  <c:v>3.5148056247998501E-2</c:v>
                </c:pt>
                <c:pt idx="8">
                  <c:v>1.07066652061154E-2</c:v>
                </c:pt>
                <c:pt idx="9">
                  <c:v>0.25114926492380002</c:v>
                </c:pt>
                <c:pt idx="10">
                  <c:v>3.0183928796152101E-2</c:v>
                </c:pt>
                <c:pt idx="11">
                  <c:v>1.60524114479242E-2</c:v>
                </c:pt>
                <c:pt idx="12">
                  <c:v>0.15116967377995599</c:v>
                </c:pt>
                <c:pt idx="13">
                  <c:v>0.28913966528762097</c:v>
                </c:pt>
                <c:pt idx="14">
                  <c:v>0.26973520454304201</c:v>
                </c:pt>
                <c:pt idx="15">
                  <c:v>0.44927371791166298</c:v>
                </c:pt>
                <c:pt idx="16">
                  <c:v>3.30137721316398E-2</c:v>
                </c:pt>
                <c:pt idx="17">
                  <c:v>3.0606739862053499E-2</c:v>
                </c:pt>
                <c:pt idx="18">
                  <c:v>1.76503241337798</c:v>
                </c:pt>
                <c:pt idx="19">
                  <c:v>79.141082187145102</c:v>
                </c:pt>
                <c:pt idx="20">
                  <c:v>4.9159557135116101</c:v>
                </c:pt>
                <c:pt idx="21">
                  <c:v>68.904421036935901</c:v>
                </c:pt>
                <c:pt idx="22">
                  <c:v>7.7396930747720099</c:v>
                </c:pt>
                <c:pt idx="23">
                  <c:v>2.03196298779698E-2</c:v>
                </c:pt>
                <c:pt idx="24">
                  <c:v>9.3276853110652896E-2</c:v>
                </c:pt>
                <c:pt idx="25">
                  <c:v>1.2398314002048101</c:v>
                </c:pt>
                <c:pt idx="26">
                  <c:v>7.5959490068581506E-2</c:v>
                </c:pt>
                <c:pt idx="27">
                  <c:v>2.6747517473726901</c:v>
                </c:pt>
                <c:pt idx="28">
                  <c:v>0.63876020168956305</c:v>
                </c:pt>
                <c:pt idx="29">
                  <c:v>0.11331047452236501</c:v>
                </c:pt>
                <c:pt idx="30">
                  <c:v>0.35726674882146803</c:v>
                </c:pt>
                <c:pt idx="31">
                  <c:v>9.8899075872316597</c:v>
                </c:pt>
                <c:pt idx="32">
                  <c:v>1.6125257200354799</c:v>
                </c:pt>
                <c:pt idx="33">
                  <c:v>18.4444639051863</c:v>
                </c:pt>
                <c:pt idx="34">
                  <c:v>0.92852050259173502</c:v>
                </c:pt>
                <c:pt idx="35">
                  <c:v>0.21750818821981599</c:v>
                </c:pt>
                <c:pt idx="36">
                  <c:v>0.78218061101344705</c:v>
                </c:pt>
                <c:pt idx="37">
                  <c:v>8.0649082267936105</c:v>
                </c:pt>
                <c:pt idx="38">
                  <c:v>11.255708521506</c:v>
                </c:pt>
                <c:pt idx="39">
                  <c:v>22.614405245825498</c:v>
                </c:pt>
                <c:pt idx="40">
                  <c:v>12.8005295269201</c:v>
                </c:pt>
                <c:pt idx="41">
                  <c:v>1.05753926524548E-2</c:v>
                </c:pt>
                <c:pt idx="42">
                  <c:v>4.8049605918562499E-2</c:v>
                </c:pt>
                <c:pt idx="43">
                  <c:v>0.12889248878739401</c:v>
                </c:pt>
                <c:pt idx="44">
                  <c:v>0.35108656098555702</c:v>
                </c:pt>
                <c:pt idx="45">
                  <c:v>0.91597680693540595</c:v>
                </c:pt>
                <c:pt idx="46">
                  <c:v>0.33062589969392903</c:v>
                </c:pt>
                <c:pt idx="47">
                  <c:v>5.8703863815242001E-2</c:v>
                </c:pt>
                <c:pt idx="48">
                  <c:v>0.16599100975360501</c:v>
                </c:pt>
                <c:pt idx="49">
                  <c:v>3.52436721945271</c:v>
                </c:pt>
                <c:pt idx="50">
                  <c:v>3.64198349618967</c:v>
                </c:pt>
                <c:pt idx="51">
                  <c:v>8.4251774657883107</c:v>
                </c:pt>
                <c:pt idx="52">
                  <c:v>3.3649842341122298</c:v>
                </c:pt>
                <c:pt idx="53">
                  <c:v>0.113011619627891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65-4157-9109-03819C349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323536"/>
        <c:axId val="993324016"/>
      </c:barChart>
      <c:catAx>
        <c:axId val="99332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4016"/>
        <c:crosses val="autoZero"/>
        <c:auto val="1"/>
        <c:lblAlgn val="ctr"/>
        <c:lblOffset val="100"/>
        <c:noMultiLvlLbl val="0"/>
      </c:catAx>
      <c:valAx>
        <c:axId val="99332401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'CijEst2019and2010 Vertical'!$C$86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65-434F-A416-5C959E18A3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Vertical'!$A$87:$B$140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Black&amp;HS&amp;Younger</c:v>
                  </c:pt>
                  <c:pt idx="18">
                    <c:v>Male: Black&amp;HS&amp;Middle</c:v>
                  </c:pt>
                  <c:pt idx="36">
                    <c:v>Male:Black&amp;HS&amp;Older</c:v>
                  </c:pt>
                </c:lvl>
              </c:multiLvlStrCache>
            </c:multiLvlStrRef>
          </c:cat>
          <c:val>
            <c:numRef>
              <c:f>'CijEst2019and2010 Vertical'!$C$87:$C$140</c:f>
              <c:numCache>
                <c:formatCode>0.0</c:formatCode>
                <c:ptCount val="54"/>
                <c:pt idx="0">
                  <c:v>7.0962080999999996E-2</c:v>
                </c:pt>
                <c:pt idx="1">
                  <c:v>0.46981498599999999</c:v>
                </c:pt>
                <c:pt idx="2">
                  <c:v>1.5281404E-2</c:v>
                </c:pt>
                <c:pt idx="3">
                  <c:v>0.25457442400000002</c:v>
                </c:pt>
                <c:pt idx="4">
                  <c:v>0.22889737099999999</c:v>
                </c:pt>
                <c:pt idx="5">
                  <c:v>3.2940298E-2</c:v>
                </c:pt>
                <c:pt idx="6">
                  <c:v>1.0049873650000001</c:v>
                </c:pt>
                <c:pt idx="7">
                  <c:v>2.216510494</c:v>
                </c:pt>
                <c:pt idx="8">
                  <c:v>0.24116460200000001</c:v>
                </c:pt>
                <c:pt idx="9">
                  <c:v>4.2700435160000003</c:v>
                </c:pt>
                <c:pt idx="10">
                  <c:v>3.1574678999999999</c:v>
                </c:pt>
                <c:pt idx="11">
                  <c:v>0.47889541800000002</c:v>
                </c:pt>
                <c:pt idx="12">
                  <c:v>6.9535930999999995E-2</c:v>
                </c:pt>
                <c:pt idx="13">
                  <c:v>0.95359931499999995</c:v>
                </c:pt>
                <c:pt idx="14">
                  <c:v>0.122630948</c:v>
                </c:pt>
                <c:pt idx="15">
                  <c:v>0.50423113600000002</c:v>
                </c:pt>
                <c:pt idx="16">
                  <c:v>0.31560970500000002</c:v>
                </c:pt>
                <c:pt idx="17">
                  <c:v>0.14698472000000001</c:v>
                </c:pt>
                <c:pt idx="18">
                  <c:v>2.8663131000000001E-2</c:v>
                </c:pt>
                <c:pt idx="19">
                  <c:v>3.8060266829999998</c:v>
                </c:pt>
                <c:pt idx="20">
                  <c:v>0.29606660200000001</c:v>
                </c:pt>
                <c:pt idx="21">
                  <c:v>0.82612058499999996</c:v>
                </c:pt>
                <c:pt idx="22">
                  <c:v>2.366811142</c:v>
                </c:pt>
                <c:pt idx="23">
                  <c:v>0.16023849500000001</c:v>
                </c:pt>
                <c:pt idx="24">
                  <c:v>1.21370355</c:v>
                </c:pt>
                <c:pt idx="25">
                  <c:v>55.315573299999997</c:v>
                </c:pt>
                <c:pt idx="26">
                  <c:v>5.1798072150000003</c:v>
                </c:pt>
                <c:pt idx="27">
                  <c:v>4.1369186469999999</c:v>
                </c:pt>
                <c:pt idx="28">
                  <c:v>59.509246930000003</c:v>
                </c:pt>
                <c:pt idx="29">
                  <c:v>7.3958349559999998</c:v>
                </c:pt>
                <c:pt idx="30">
                  <c:v>0.11233655400000001</c:v>
                </c:pt>
                <c:pt idx="31">
                  <c:v>7.0534003260000002</c:v>
                </c:pt>
                <c:pt idx="32">
                  <c:v>0.79268725200000001</c:v>
                </c:pt>
                <c:pt idx="33">
                  <c:v>0.81788047699999999</c:v>
                </c:pt>
                <c:pt idx="34">
                  <c:v>4.0581988200000003</c:v>
                </c:pt>
                <c:pt idx="35">
                  <c:v>0.47711173000000001</c:v>
                </c:pt>
                <c:pt idx="36">
                  <c:v>1.8886085E-2</c:v>
                </c:pt>
                <c:pt idx="37">
                  <c:v>0.33509170799999999</c:v>
                </c:pt>
                <c:pt idx="38">
                  <c:v>0.39155282400000002</c:v>
                </c:pt>
                <c:pt idx="39">
                  <c:v>0.13473972000000001</c:v>
                </c:pt>
                <c:pt idx="40">
                  <c:v>0.33371927400000001</c:v>
                </c:pt>
                <c:pt idx="41">
                  <c:v>0.56205881899999999</c:v>
                </c:pt>
                <c:pt idx="42">
                  <c:v>0.40078387999999998</c:v>
                </c:pt>
                <c:pt idx="43">
                  <c:v>4.7192069950000004</c:v>
                </c:pt>
                <c:pt idx="44">
                  <c:v>18.817238740000001</c:v>
                </c:pt>
                <c:pt idx="45">
                  <c:v>0.90472275599999996</c:v>
                </c:pt>
                <c:pt idx="46">
                  <c:v>3.1264438779999999</c:v>
                </c:pt>
                <c:pt idx="47">
                  <c:v>16.154764369999999</c:v>
                </c:pt>
                <c:pt idx="48">
                  <c:v>7.4001877999999993E-2</c:v>
                </c:pt>
                <c:pt idx="49">
                  <c:v>0.66991274499999998</c:v>
                </c:pt>
                <c:pt idx="50">
                  <c:v>1.046205506</c:v>
                </c:pt>
                <c:pt idx="51">
                  <c:v>0.53507814300000001</c:v>
                </c:pt>
                <c:pt idx="52">
                  <c:v>0.33535709200000002</c:v>
                </c:pt>
                <c:pt idx="53">
                  <c:v>0.62879797500000001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5-434F-A416-5C959E18A366}"/>
            </c:ext>
          </c:extLst>
        </c:ser>
        <c:ser>
          <c:idx val="1"/>
          <c:order val="1"/>
          <c:tx>
            <c:strRef>
              <c:f>'CijEst2019and2010 Vertical'!$D$86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865-434F-A416-5C959E18A3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Vertical'!$A$87:$B$140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Black&amp;HS&amp;Younger</c:v>
                  </c:pt>
                  <c:pt idx="18">
                    <c:v>Male: Black&amp;HS&amp;Middle</c:v>
                  </c:pt>
                  <c:pt idx="36">
                    <c:v>Male:Black&amp;HS&amp;Older</c:v>
                  </c:pt>
                </c:lvl>
              </c:multiLvlStrCache>
            </c:multiLvlStrRef>
          </c:cat>
          <c:val>
            <c:numRef>
              <c:f>'CijEst2019and2010 Vertical'!$D$87:$D$140</c:f>
              <c:numCache>
                <c:formatCode>0.0</c:formatCode>
                <c:ptCount val="54"/>
                <c:pt idx="0">
                  <c:v>5.2080032487890802E-2</c:v>
                </c:pt>
                <c:pt idx="1">
                  <c:v>6.8084390900663497E-2</c:v>
                </c:pt>
                <c:pt idx="2">
                  <c:v>3.6460774676972701E-2</c:v>
                </c:pt>
                <c:pt idx="3">
                  <c:v>0.215168571114841</c:v>
                </c:pt>
                <c:pt idx="4">
                  <c:v>3.7834131775341798E-2</c:v>
                </c:pt>
                <c:pt idx="5">
                  <c:v>1.6486156597527599E-2</c:v>
                </c:pt>
                <c:pt idx="6">
                  <c:v>1.52421531554585</c:v>
                </c:pt>
                <c:pt idx="7">
                  <c:v>2.9809704370211501</c:v>
                </c:pt>
                <c:pt idx="8">
                  <c:v>1.2702104885399199</c:v>
                </c:pt>
                <c:pt idx="9">
                  <c:v>6.0407534081897296</c:v>
                </c:pt>
                <c:pt idx="10">
                  <c:v>0.170623495528751</c:v>
                </c:pt>
                <c:pt idx="11">
                  <c:v>9.0868587943600795E-2</c:v>
                </c:pt>
                <c:pt idx="12">
                  <c:v>0.22845394465052399</c:v>
                </c:pt>
                <c:pt idx="13">
                  <c:v>0.82014639956534896</c:v>
                </c:pt>
                <c:pt idx="14">
                  <c:v>0.11773678685964099</c:v>
                </c:pt>
                <c:pt idx="15">
                  <c:v>0.57152041053644598</c:v>
                </c:pt>
                <c:pt idx="16">
                  <c:v>0.186091023745037</c:v>
                </c:pt>
                <c:pt idx="17">
                  <c:v>0.17328067019646201</c:v>
                </c:pt>
                <c:pt idx="18">
                  <c:v>0.177947520457713</c:v>
                </c:pt>
                <c:pt idx="19">
                  <c:v>7.7685653679266702</c:v>
                </c:pt>
                <c:pt idx="20">
                  <c:v>0.38848278912991402</c:v>
                </c:pt>
                <c:pt idx="21">
                  <c:v>7.1557369217323004</c:v>
                </c:pt>
                <c:pt idx="22">
                  <c:v>0.85861106191735204</c:v>
                </c:pt>
                <c:pt idx="23">
                  <c:v>7.44268548686568E-2</c:v>
                </c:pt>
                <c:pt idx="24">
                  <c:v>1.69688258386519</c:v>
                </c:pt>
                <c:pt idx="25">
                  <c:v>85.361035999341695</c:v>
                </c:pt>
                <c:pt idx="26">
                  <c:v>8.0012852183539707</c:v>
                </c:pt>
                <c:pt idx="27">
                  <c:v>165.625375222049</c:v>
                </c:pt>
                <c:pt idx="28">
                  <c:v>23.331849386304199</c:v>
                </c:pt>
                <c:pt idx="29">
                  <c:v>0.41236703823974902</c:v>
                </c:pt>
                <c:pt idx="30">
                  <c:v>0.12988629348813299</c:v>
                </c:pt>
                <c:pt idx="31">
                  <c:v>9.9765812406708694</c:v>
                </c:pt>
                <c:pt idx="32">
                  <c:v>1.0684908213383699</c:v>
                </c:pt>
                <c:pt idx="33">
                  <c:v>6.4547322802033804</c:v>
                </c:pt>
                <c:pt idx="34">
                  <c:v>0.84393483585947704</c:v>
                </c:pt>
                <c:pt idx="35">
                  <c:v>0.788133721415191</c:v>
                </c:pt>
                <c:pt idx="36">
                  <c:v>6.2728808728863106E-2</c:v>
                </c:pt>
                <c:pt idx="37">
                  <c:v>2.17632019801365</c:v>
                </c:pt>
                <c:pt idx="38">
                  <c:v>0.583053202048185</c:v>
                </c:pt>
                <c:pt idx="39">
                  <c:v>1.54947489793819</c:v>
                </c:pt>
                <c:pt idx="40">
                  <c:v>1.2056643044612001</c:v>
                </c:pt>
                <c:pt idx="41">
                  <c:v>5.2589951265075E-2</c:v>
                </c:pt>
                <c:pt idx="42">
                  <c:v>1.66663811176448</c:v>
                </c:pt>
                <c:pt idx="43">
                  <c:v>17.817535967431599</c:v>
                </c:pt>
                <c:pt idx="44">
                  <c:v>35.980067051243303</c:v>
                </c:pt>
                <c:pt idx="45">
                  <c:v>47.815746090546298</c:v>
                </c:pt>
                <c:pt idx="46">
                  <c:v>49.124280170411197</c:v>
                </c:pt>
                <c:pt idx="47">
                  <c:v>0.29391228500695599</c:v>
                </c:pt>
                <c:pt idx="48">
                  <c:v>9.2495989129158199E-2</c:v>
                </c:pt>
                <c:pt idx="49">
                  <c:v>1.75521403649992</c:v>
                </c:pt>
                <c:pt idx="50">
                  <c:v>1.8747230206788501</c:v>
                </c:pt>
                <c:pt idx="51">
                  <c:v>0.91764795325770199</c:v>
                </c:pt>
                <c:pt idx="52">
                  <c:v>1.1991663089503499</c:v>
                </c:pt>
                <c:pt idx="53">
                  <c:v>0.56045749986584903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865-434F-A416-5C959E18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323536"/>
        <c:axId val="993324016"/>
      </c:barChart>
      <c:catAx>
        <c:axId val="99332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4016"/>
        <c:crosses val="autoZero"/>
        <c:auto val="1"/>
        <c:lblAlgn val="ctr"/>
        <c:lblOffset val="100"/>
        <c:noMultiLvlLbl val="0"/>
      </c:catAx>
      <c:valAx>
        <c:axId val="99332401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ysClr val="windowText" lastClr="000000"/>
          </a:solidFill>
          <a:latin typeface="Garamond" panose="02020404030301010803" pitchFamily="18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'CijEst2019and2010 Vertical'!$C$146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1"/>
              <c:layout>
                <c:manualLayout>
                  <c:x val="-2.2560627689955158E-3"/>
                  <c:y val="1.1664421036002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30-43C2-A0F5-4F1FDD604B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Vertical'!$A$147:$B$200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Others&amp;HS&amp;Younger</c:v>
                  </c:pt>
                  <c:pt idx="18">
                    <c:v>Male: Others&amp;HS&amp;Middle</c:v>
                  </c:pt>
                  <c:pt idx="36">
                    <c:v>Male:Others&amp;HS&amp;Older</c:v>
                  </c:pt>
                </c:lvl>
              </c:multiLvlStrCache>
            </c:multiLvlStrRef>
          </c:cat>
          <c:val>
            <c:numRef>
              <c:f>'CijEst2019and2010 Vertical'!$C$147:$C$200</c:f>
              <c:numCache>
                <c:formatCode>0.0</c:formatCode>
                <c:ptCount val="54"/>
                <c:pt idx="0">
                  <c:v>0.15560755900000001</c:v>
                </c:pt>
                <c:pt idx="1">
                  <c:v>0.55144163199999996</c:v>
                </c:pt>
                <c:pt idx="2">
                  <c:v>8.9564299999999996E-3</c:v>
                </c:pt>
                <c:pt idx="3">
                  <c:v>0.74269249500000001</c:v>
                </c:pt>
                <c:pt idx="4">
                  <c:v>0.29265619500000001</c:v>
                </c:pt>
                <c:pt idx="5">
                  <c:v>9.6229450000000008E-3</c:v>
                </c:pt>
                <c:pt idx="6">
                  <c:v>7.3659905999999997E-2</c:v>
                </c:pt>
                <c:pt idx="7">
                  <c:v>0.32515724800000001</c:v>
                </c:pt>
                <c:pt idx="8">
                  <c:v>4.7041265999999998E-2</c:v>
                </c:pt>
                <c:pt idx="9">
                  <c:v>0.50084140600000004</c:v>
                </c:pt>
                <c:pt idx="10">
                  <c:v>0.12329364800000001</c:v>
                </c:pt>
                <c:pt idx="11">
                  <c:v>5.6127631999999997E-2</c:v>
                </c:pt>
                <c:pt idx="12">
                  <c:v>1.364026959</c:v>
                </c:pt>
                <c:pt idx="13">
                  <c:v>3.860235254</c:v>
                </c:pt>
                <c:pt idx="14">
                  <c:v>0.359585559</c:v>
                </c:pt>
                <c:pt idx="15">
                  <c:v>4.1319004149999996</c:v>
                </c:pt>
                <c:pt idx="16">
                  <c:v>1.481907954</c:v>
                </c:pt>
                <c:pt idx="17">
                  <c:v>0.17359089999999999</c:v>
                </c:pt>
                <c:pt idx="18">
                  <c:v>0.13054933199999999</c:v>
                </c:pt>
                <c:pt idx="19">
                  <c:v>12.09705222</c:v>
                </c:pt>
                <c:pt idx="20">
                  <c:v>0.280392158</c:v>
                </c:pt>
                <c:pt idx="21">
                  <c:v>0.46723862399999999</c:v>
                </c:pt>
                <c:pt idx="22">
                  <c:v>9.3366127510000005</c:v>
                </c:pt>
                <c:pt idx="23">
                  <c:v>0.35929286599999999</c:v>
                </c:pt>
                <c:pt idx="24">
                  <c:v>0.23131492400000001</c:v>
                </c:pt>
                <c:pt idx="25">
                  <c:v>2.04004026</c:v>
                </c:pt>
                <c:pt idx="26">
                  <c:v>0.29566025800000001</c:v>
                </c:pt>
                <c:pt idx="27">
                  <c:v>1.569571042</c:v>
                </c:pt>
                <c:pt idx="28">
                  <c:v>3.1169597420000001</c:v>
                </c:pt>
                <c:pt idx="29">
                  <c:v>0.35213897199999999</c:v>
                </c:pt>
                <c:pt idx="30">
                  <c:v>2.1715942529999999</c:v>
                </c:pt>
                <c:pt idx="31">
                  <c:v>148.50305349999999</c:v>
                </c:pt>
                <c:pt idx="32">
                  <c:v>18.898145929999998</c:v>
                </c:pt>
                <c:pt idx="33">
                  <c:v>10.150962140000001</c:v>
                </c:pt>
                <c:pt idx="34">
                  <c:v>58.910236429999998</c:v>
                </c:pt>
                <c:pt idx="35">
                  <c:v>9.7672518729999993</c:v>
                </c:pt>
                <c:pt idx="36">
                  <c:v>3.3160948000000003E-2</c:v>
                </c:pt>
                <c:pt idx="37">
                  <c:v>1.1920628419999999</c:v>
                </c:pt>
                <c:pt idx="38">
                  <c:v>0.92335421100000004</c:v>
                </c:pt>
                <c:pt idx="39">
                  <c:v>0.237980265</c:v>
                </c:pt>
                <c:pt idx="40">
                  <c:v>0.72461527199999998</c:v>
                </c:pt>
                <c:pt idx="41">
                  <c:v>1.23919976</c:v>
                </c:pt>
                <c:pt idx="42">
                  <c:v>0.23465851400000001</c:v>
                </c:pt>
                <c:pt idx="43">
                  <c:v>1.037292654</c:v>
                </c:pt>
                <c:pt idx="44">
                  <c:v>1.2082576140000001</c:v>
                </c:pt>
                <c:pt idx="45">
                  <c:v>1.6001545530000001</c:v>
                </c:pt>
                <c:pt idx="46">
                  <c:v>0.78762139600000003</c:v>
                </c:pt>
                <c:pt idx="47">
                  <c:v>1.0819732230000001</c:v>
                </c:pt>
                <c:pt idx="48">
                  <c:v>0.39245900700000003</c:v>
                </c:pt>
                <c:pt idx="49">
                  <c:v>18.98304834</c:v>
                </c:pt>
                <c:pt idx="50">
                  <c:v>44.393161020000001</c:v>
                </c:pt>
                <c:pt idx="51">
                  <c:v>1.9041369909999999</c:v>
                </c:pt>
                <c:pt idx="52">
                  <c:v>5.9493580850000001</c:v>
                </c:pt>
                <c:pt idx="53">
                  <c:v>18.900157220000001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0-43C2-A0F5-4F1FDD604B8E}"/>
            </c:ext>
          </c:extLst>
        </c:ser>
        <c:ser>
          <c:idx val="1"/>
          <c:order val="1"/>
          <c:tx>
            <c:strRef>
              <c:f>'CijEst2019and2010 Vertical'!$D$146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400" b="0" i="0" u="none" strike="noStrike" kern="1200" baseline="0">
                      <a:solidFill>
                        <a:sysClr val="windowText" lastClr="000000"/>
                      </a:solidFill>
                      <a:latin typeface="Garamond" panose="020204040303010108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30-43C2-A0F5-4F1FDD604B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1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Vertical'!$A$147:$B$200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Others&amp;HS&amp;Younger</c:v>
                  </c:pt>
                  <c:pt idx="18">
                    <c:v>Male: Others&amp;HS&amp;Middle</c:v>
                  </c:pt>
                  <c:pt idx="36">
                    <c:v>Male:Others&amp;HS&amp;Older</c:v>
                  </c:pt>
                </c:lvl>
              </c:multiLvlStrCache>
            </c:multiLvlStrRef>
          </c:cat>
          <c:val>
            <c:numRef>
              <c:f>'CijEst2019and2010 Vertical'!$D$147:$D$200</c:f>
              <c:numCache>
                <c:formatCode>0.0</c:formatCode>
                <c:ptCount val="54"/>
                <c:pt idx="0">
                  <c:v>0.143508391888475</c:v>
                </c:pt>
                <c:pt idx="1">
                  <c:v>1.02142105738495</c:v>
                </c:pt>
                <c:pt idx="2">
                  <c:v>0.114771901676002</c:v>
                </c:pt>
                <c:pt idx="3">
                  <c:v>0.556034494947933</c:v>
                </c:pt>
                <c:pt idx="4">
                  <c:v>5.9692758954835203E-2</c:v>
                </c:pt>
                <c:pt idx="5">
                  <c:v>1.2744107978332199E-2</c:v>
                </c:pt>
                <c:pt idx="6">
                  <c:v>5.8796504869909498E-2</c:v>
                </c:pt>
                <c:pt idx="7">
                  <c:v>0.155476870496467</c:v>
                </c:pt>
                <c:pt idx="8">
                  <c:v>4.7163623028982499E-2</c:v>
                </c:pt>
                <c:pt idx="9">
                  <c:v>0.56455739299676899</c:v>
                </c:pt>
                <c:pt idx="10">
                  <c:v>0.13351365702005599</c:v>
                </c:pt>
                <c:pt idx="11">
                  <c:v>7.1149928492666006E-2</c:v>
                </c:pt>
                <c:pt idx="12">
                  <c:v>2.50117429508385</c:v>
                </c:pt>
                <c:pt idx="13">
                  <c:v>7.0921077154261702</c:v>
                </c:pt>
                <c:pt idx="14">
                  <c:v>2.4987687918769299</c:v>
                </c:pt>
                <c:pt idx="15">
                  <c:v>2.9150820671323401</c:v>
                </c:pt>
                <c:pt idx="16">
                  <c:v>0.44119307338018099</c:v>
                </c:pt>
                <c:pt idx="17">
                  <c:v>0.13525359091115299</c:v>
                </c:pt>
                <c:pt idx="18">
                  <c:v>0.22305674625059599</c:v>
                </c:pt>
                <c:pt idx="19">
                  <c:v>16.743983046358998</c:v>
                </c:pt>
                <c:pt idx="20">
                  <c:v>0.76334359618947101</c:v>
                </c:pt>
                <c:pt idx="21">
                  <c:v>15.758686942243401</c:v>
                </c:pt>
                <c:pt idx="22">
                  <c:v>1.94312088158146</c:v>
                </c:pt>
                <c:pt idx="23">
                  <c:v>9.40617773573591E-2</c:v>
                </c:pt>
                <c:pt idx="24">
                  <c:v>0.21316229694052199</c:v>
                </c:pt>
                <c:pt idx="25">
                  <c:v>2.2843940724944498</c:v>
                </c:pt>
                <c:pt idx="26">
                  <c:v>1.03510096365549</c:v>
                </c:pt>
                <c:pt idx="27">
                  <c:v>8.1099197344693792</c:v>
                </c:pt>
                <c:pt idx="28">
                  <c:v>0.97872263826573802</c:v>
                </c:pt>
                <c:pt idx="29">
                  <c:v>0.521705786167595</c:v>
                </c:pt>
                <c:pt idx="30">
                  <c:v>6.7002809067631901</c:v>
                </c:pt>
                <c:pt idx="31">
                  <c:v>257.09414641829699</c:v>
                </c:pt>
                <c:pt idx="32">
                  <c:v>28.208122388444199</c:v>
                </c:pt>
                <c:pt idx="33">
                  <c:v>139.37799376678001</c:v>
                </c:pt>
                <c:pt idx="34">
                  <c:v>10.6286738798945</c:v>
                </c:pt>
                <c:pt idx="35">
                  <c:v>0.99986828174681297</c:v>
                </c:pt>
                <c:pt idx="36">
                  <c:v>0.35062441567372199</c:v>
                </c:pt>
                <c:pt idx="37">
                  <c:v>3.2254464481573399</c:v>
                </c:pt>
                <c:pt idx="38">
                  <c:v>3.5882880729748901</c:v>
                </c:pt>
                <c:pt idx="39">
                  <c:v>7.6625381581934997</c:v>
                </c:pt>
                <c:pt idx="40">
                  <c:v>4.0561688556896396</c:v>
                </c:pt>
                <c:pt idx="41">
                  <c:v>0.110408928309649</c:v>
                </c:pt>
                <c:pt idx="42">
                  <c:v>0.25004834303829598</c:v>
                </c:pt>
                <c:pt idx="43">
                  <c:v>2.67614120890615</c:v>
                </c:pt>
                <c:pt idx="44">
                  <c:v>2.4343117556463598</c:v>
                </c:pt>
                <c:pt idx="45">
                  <c:v>11.9032568541024</c:v>
                </c:pt>
                <c:pt idx="46">
                  <c:v>4.5604160686300803</c:v>
                </c:pt>
                <c:pt idx="47">
                  <c:v>0.61067255428331102</c:v>
                </c:pt>
                <c:pt idx="48">
                  <c:v>4.9884741675704598</c:v>
                </c:pt>
                <c:pt idx="49">
                  <c:v>51.346541046699102</c:v>
                </c:pt>
                <c:pt idx="50">
                  <c:v>76.647345564199895</c:v>
                </c:pt>
                <c:pt idx="51">
                  <c:v>85.714976358940007</c:v>
                </c:pt>
                <c:pt idx="52">
                  <c:v>42.563923833022201</c:v>
                </c:pt>
                <c:pt idx="53">
                  <c:v>1.16911770876606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30-43C2-A0F5-4F1FDD604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323536"/>
        <c:axId val="993324016"/>
      </c:barChart>
      <c:catAx>
        <c:axId val="99332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4016"/>
        <c:crosses val="autoZero"/>
        <c:auto val="1"/>
        <c:lblAlgn val="ctr"/>
        <c:lblOffset val="100"/>
        <c:noMultiLvlLbl val="0"/>
      </c:catAx>
      <c:valAx>
        <c:axId val="99332401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ysClr val="windowText" lastClr="000000"/>
          </a:solidFill>
          <a:latin typeface="Garamond" panose="02020404030301010803" pitchFamily="18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'CijEst2019and2010 Vertical'!$AL$27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68-44EA-8F43-4F75599E7F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Vertical'!$AJ$28:$AK$81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White&amp;College&amp;Younger</c:v>
                  </c:pt>
                  <c:pt idx="18">
                    <c:v>Male: White&amp;College&amp;Middle</c:v>
                  </c:pt>
                  <c:pt idx="36">
                    <c:v>Male:White&amp;College&amp;Older</c:v>
                  </c:pt>
                </c:lvl>
              </c:multiLvlStrCache>
            </c:multiLvlStrRef>
          </c:cat>
          <c:val>
            <c:numRef>
              <c:f>'CijEst2019and2010 Vertical'!$AL$28:$AL$81</c:f>
              <c:numCache>
                <c:formatCode>0.0</c:formatCode>
                <c:ptCount val="54"/>
                <c:pt idx="0">
                  <c:v>1.1576264919999999</c:v>
                </c:pt>
                <c:pt idx="1">
                  <c:v>4.3259494040000002</c:v>
                </c:pt>
                <c:pt idx="2">
                  <c:v>5.9455828000000002E-2</c:v>
                </c:pt>
                <c:pt idx="3">
                  <c:v>33.597610590000002</c:v>
                </c:pt>
                <c:pt idx="4">
                  <c:v>17.403603180000001</c:v>
                </c:pt>
                <c:pt idx="5">
                  <c:v>4.8099866999999998E-2</c:v>
                </c:pt>
                <c:pt idx="6">
                  <c:v>6.1150040000000003E-2</c:v>
                </c:pt>
                <c:pt idx="7">
                  <c:v>1.0790948549999999</c:v>
                </c:pt>
                <c:pt idx="8">
                  <c:v>7.7988011999999995E-2</c:v>
                </c:pt>
                <c:pt idx="9">
                  <c:v>0.41477594400000001</c:v>
                </c:pt>
                <c:pt idx="10">
                  <c:v>1.0150914069999999</c:v>
                </c:pt>
                <c:pt idx="11">
                  <c:v>9.3245126999999997E-2</c:v>
                </c:pt>
                <c:pt idx="12">
                  <c:v>0.33602373299999999</c:v>
                </c:pt>
                <c:pt idx="13">
                  <c:v>0.92560755900000002</c:v>
                </c:pt>
                <c:pt idx="14">
                  <c:v>0.119482637</c:v>
                </c:pt>
                <c:pt idx="15">
                  <c:v>7.5408119740000004</c:v>
                </c:pt>
                <c:pt idx="16">
                  <c:v>5.498209492</c:v>
                </c:pt>
                <c:pt idx="17">
                  <c:v>0.14331861900000001</c:v>
                </c:pt>
                <c:pt idx="18">
                  <c:v>0.429296966</c:v>
                </c:pt>
                <c:pt idx="19">
                  <c:v>28.29677191</c:v>
                </c:pt>
                <c:pt idx="20">
                  <c:v>0.73007783599999998</c:v>
                </c:pt>
                <c:pt idx="21">
                  <c:v>6.2381378300000003</c:v>
                </c:pt>
                <c:pt idx="22">
                  <c:v>116.9275458</c:v>
                </c:pt>
                <c:pt idx="23">
                  <c:v>4.049201965</c:v>
                </c:pt>
                <c:pt idx="24">
                  <c:v>9.4130908999999999E-2</c:v>
                </c:pt>
                <c:pt idx="25">
                  <c:v>0.834173418</c:v>
                </c:pt>
                <c:pt idx="26">
                  <c:v>5.9988614000000003E-2</c:v>
                </c:pt>
                <c:pt idx="27">
                  <c:v>0.31765765200000001</c:v>
                </c:pt>
                <c:pt idx="28">
                  <c:v>6.7086931700000001</c:v>
                </c:pt>
                <c:pt idx="29">
                  <c:v>0.14340008800000001</c:v>
                </c:pt>
                <c:pt idx="30">
                  <c:v>7.9055994000000004E-2</c:v>
                </c:pt>
                <c:pt idx="31">
                  <c:v>8.9522220539999999</c:v>
                </c:pt>
                <c:pt idx="32">
                  <c:v>0.634624725</c:v>
                </c:pt>
                <c:pt idx="33">
                  <c:v>2.6253340770000002</c:v>
                </c:pt>
                <c:pt idx="34">
                  <c:v>40.852237080000002</c:v>
                </c:pt>
                <c:pt idx="35">
                  <c:v>3.7352708020000001</c:v>
                </c:pt>
                <c:pt idx="36">
                  <c:v>4.3955510000000001E-3</c:v>
                </c:pt>
                <c:pt idx="37">
                  <c:v>1.9542509779999999</c:v>
                </c:pt>
                <c:pt idx="38">
                  <c:v>3.4642158940000001</c:v>
                </c:pt>
                <c:pt idx="39">
                  <c:v>0.18786340800000001</c:v>
                </c:pt>
                <c:pt idx="40">
                  <c:v>3.8863381829999999</c:v>
                </c:pt>
                <c:pt idx="41">
                  <c:v>10.161374009999999</c:v>
                </c:pt>
                <c:pt idx="42">
                  <c:v>3.1080555999999999E-2</c:v>
                </c:pt>
                <c:pt idx="43">
                  <c:v>0.13736209999999999</c:v>
                </c:pt>
                <c:pt idx="44">
                  <c:v>0.23826318499999999</c:v>
                </c:pt>
                <c:pt idx="45">
                  <c:v>0.211271178</c:v>
                </c:pt>
                <c:pt idx="46">
                  <c:v>0.42063528100000003</c:v>
                </c:pt>
                <c:pt idx="47">
                  <c:v>1.186731746</c:v>
                </c:pt>
                <c:pt idx="48">
                  <c:v>1.7244457000000001E-2</c:v>
                </c:pt>
                <c:pt idx="49">
                  <c:v>2.5049342710000002</c:v>
                </c:pt>
                <c:pt idx="50">
                  <c:v>1.7037326509999999</c:v>
                </c:pt>
                <c:pt idx="51">
                  <c:v>0.12533614800000001</c:v>
                </c:pt>
                <c:pt idx="52">
                  <c:v>2.03599394</c:v>
                </c:pt>
                <c:pt idx="53">
                  <c:v>7.097245236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8-44EA-8F43-4F75599E7F50}"/>
            </c:ext>
          </c:extLst>
        </c:ser>
        <c:ser>
          <c:idx val="1"/>
          <c:order val="1"/>
          <c:tx>
            <c:strRef>
              <c:f>'CijEst2019and2010 Vertical'!$AM$27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F68-44EA-8F43-4F75599E7F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Vertical'!$AJ$28:$AK$81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White&amp;College&amp;Younger</c:v>
                  </c:pt>
                  <c:pt idx="18">
                    <c:v>Male: White&amp;College&amp;Middle</c:v>
                  </c:pt>
                  <c:pt idx="36">
                    <c:v>Male:White&amp;College&amp;Older</c:v>
                  </c:pt>
                </c:lvl>
              </c:multiLvlStrCache>
            </c:multiLvlStrRef>
          </c:cat>
          <c:val>
            <c:numRef>
              <c:f>'CijEst2019and2010 Vertical'!$AM$28:$AM$81</c:f>
              <c:numCache>
                <c:formatCode>0.0</c:formatCode>
                <c:ptCount val="54"/>
                <c:pt idx="0">
                  <c:v>0.71991081357057196</c:v>
                </c:pt>
                <c:pt idx="1">
                  <c:v>41.237561518790102</c:v>
                </c:pt>
                <c:pt idx="2">
                  <c:v>5.3047932679876597</c:v>
                </c:pt>
                <c:pt idx="3">
                  <c:v>252.05507393332701</c:v>
                </c:pt>
                <c:pt idx="4">
                  <c:v>14.413113095642</c:v>
                </c:pt>
                <c:pt idx="5">
                  <c:v>2.2506666048616002E-2</c:v>
                </c:pt>
                <c:pt idx="6">
                  <c:v>5.09663136058272E-2</c:v>
                </c:pt>
                <c:pt idx="7">
                  <c:v>0.830147191361293</c:v>
                </c:pt>
                <c:pt idx="8">
                  <c:v>0.169657683590413</c:v>
                </c:pt>
                <c:pt idx="9">
                  <c:v>8.8352384661551202</c:v>
                </c:pt>
                <c:pt idx="10">
                  <c:v>0.48017114108859599</c:v>
                </c:pt>
                <c:pt idx="11">
                  <c:v>0.124047937089243</c:v>
                </c:pt>
                <c:pt idx="12">
                  <c:v>0.23822759848085401</c:v>
                </c:pt>
                <c:pt idx="13">
                  <c:v>9.7854616735285198</c:v>
                </c:pt>
                <c:pt idx="14">
                  <c:v>1.7871858143038899</c:v>
                </c:pt>
                <c:pt idx="15">
                  <c:v>84.752910005494599</c:v>
                </c:pt>
                <c:pt idx="16">
                  <c:v>4.1051837342557898</c:v>
                </c:pt>
                <c:pt idx="17">
                  <c:v>0.238955201502736</c:v>
                </c:pt>
                <c:pt idx="18">
                  <c:v>4.17686749748548E-2</c:v>
                </c:pt>
                <c:pt idx="19">
                  <c:v>5.5012129926351196</c:v>
                </c:pt>
                <c:pt idx="20">
                  <c:v>6.99242620518325</c:v>
                </c:pt>
                <c:pt idx="21">
                  <c:v>14.8112987258913</c:v>
                </c:pt>
                <c:pt idx="22">
                  <c:v>48.627700793497397</c:v>
                </c:pt>
                <c:pt idx="23">
                  <c:v>2.1035118560195298E-2</c:v>
                </c:pt>
                <c:pt idx="24">
                  <c:v>4.7332403754178902E-2</c:v>
                </c:pt>
                <c:pt idx="25">
                  <c:v>0.50673427728902698</c:v>
                </c:pt>
                <c:pt idx="26">
                  <c:v>0.31022441590419297</c:v>
                </c:pt>
                <c:pt idx="27">
                  <c:v>1.81649450865465</c:v>
                </c:pt>
                <c:pt idx="28">
                  <c:v>1.09268027810971</c:v>
                </c:pt>
                <c:pt idx="29">
                  <c:v>0.11586413910625901</c:v>
                </c:pt>
                <c:pt idx="30">
                  <c:v>7.3017366081258903E-2</c:v>
                </c:pt>
                <c:pt idx="31">
                  <c:v>4.5505277722183601</c:v>
                </c:pt>
                <c:pt idx="32">
                  <c:v>3.4609655165136699</c:v>
                </c:pt>
                <c:pt idx="33">
                  <c:v>12.0003159592312</c:v>
                </c:pt>
                <c:pt idx="34">
                  <c:v>14.297438233290499</c:v>
                </c:pt>
                <c:pt idx="35">
                  <c:v>0.22101245497237501</c:v>
                </c:pt>
                <c:pt idx="36">
                  <c:v>5.3493312579485398E-3</c:v>
                </c:pt>
                <c:pt idx="37">
                  <c:v>5.6040984431192702E-2</c:v>
                </c:pt>
                <c:pt idx="38">
                  <c:v>1.0013746170764001E-2</c:v>
                </c:pt>
                <c:pt idx="39">
                  <c:v>4.4550629155602199E-2</c:v>
                </c:pt>
                <c:pt idx="40">
                  <c:v>3.1185811886920999E-2</c:v>
                </c:pt>
                <c:pt idx="41">
                  <c:v>2.6848502517967401E-2</c:v>
                </c:pt>
                <c:pt idx="42">
                  <c:v>3.07106638575841E-2</c:v>
                </c:pt>
                <c:pt idx="43">
                  <c:v>0.163081433400138</c:v>
                </c:pt>
                <c:pt idx="44">
                  <c:v>4.9948673838578497E-2</c:v>
                </c:pt>
                <c:pt idx="45">
                  <c:v>0.29360880452114502</c:v>
                </c:pt>
                <c:pt idx="46">
                  <c:v>0.14082461792070999</c:v>
                </c:pt>
                <c:pt idx="47">
                  <c:v>7.4867075977356007E-2</c:v>
                </c:pt>
                <c:pt idx="48">
                  <c:v>2.3599796352802099E-2</c:v>
                </c:pt>
                <c:pt idx="49">
                  <c:v>0.22598010106536701</c:v>
                </c:pt>
                <c:pt idx="50">
                  <c:v>9.6982361609372097E-2</c:v>
                </c:pt>
                <c:pt idx="51">
                  <c:v>0.23278944296721801</c:v>
                </c:pt>
                <c:pt idx="52">
                  <c:v>0.15390013572998501</c:v>
                </c:pt>
                <c:pt idx="53">
                  <c:v>0.14210679184494299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68-44EA-8F43-4F75599E7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323536"/>
        <c:axId val="993324016"/>
      </c:barChart>
      <c:catAx>
        <c:axId val="99332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4016"/>
        <c:crosses val="autoZero"/>
        <c:auto val="1"/>
        <c:lblAlgn val="ctr"/>
        <c:lblOffset val="100"/>
        <c:noMultiLvlLbl val="0"/>
      </c:catAx>
      <c:valAx>
        <c:axId val="993324016"/>
        <c:scaling>
          <c:orientation val="minMax"/>
          <c:max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'CijEst2019and2010 Vertical'!$AL$86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39-475D-9B78-8E155E50A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Vertical'!$AJ$87:$AK$140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Black&amp;College&amp;Younger</c:v>
                  </c:pt>
                  <c:pt idx="18">
                    <c:v>Male: Black&amp;College&amp;Middle</c:v>
                  </c:pt>
                  <c:pt idx="36">
                    <c:v>Male:Black&amp;College&amp;Older</c:v>
                  </c:pt>
                </c:lvl>
              </c:multiLvlStrCache>
            </c:multiLvlStrRef>
          </c:cat>
          <c:val>
            <c:numRef>
              <c:f>'CijEst2019and2010 Vertical'!$AL$87:$AL$140</c:f>
              <c:numCache>
                <c:formatCode>0.0</c:formatCode>
                <c:ptCount val="54"/>
                <c:pt idx="0">
                  <c:v>0.19091519800000001</c:v>
                </c:pt>
                <c:pt idx="1">
                  <c:v>0.56371948199999999</c:v>
                </c:pt>
                <c:pt idx="2">
                  <c:v>0.109783644</c:v>
                </c:pt>
                <c:pt idx="3">
                  <c:v>3.1714742739999999</c:v>
                </c:pt>
                <c:pt idx="4">
                  <c:v>1.91688433</c:v>
                </c:pt>
                <c:pt idx="5">
                  <c:v>0.11782094899999999</c:v>
                </c:pt>
                <c:pt idx="6">
                  <c:v>1.8067817610000001</c:v>
                </c:pt>
                <c:pt idx="7">
                  <c:v>7.988084465</c:v>
                </c:pt>
                <c:pt idx="8">
                  <c:v>0.57530640300000002</c:v>
                </c:pt>
                <c:pt idx="9">
                  <c:v>24.450705719999998</c:v>
                </c:pt>
                <c:pt idx="10">
                  <c:v>16.54063176</c:v>
                </c:pt>
                <c:pt idx="11">
                  <c:v>0.68621405599999996</c:v>
                </c:pt>
                <c:pt idx="12">
                  <c:v>0.24926361699999999</c:v>
                </c:pt>
                <c:pt idx="13">
                  <c:v>2.2451951569999999</c:v>
                </c:pt>
                <c:pt idx="14">
                  <c:v>0.879262459</c:v>
                </c:pt>
                <c:pt idx="15">
                  <c:v>3.6115805910000001</c:v>
                </c:pt>
                <c:pt idx="16">
                  <c:v>1.1293846599999999</c:v>
                </c:pt>
                <c:pt idx="17">
                  <c:v>1.05914814</c:v>
                </c:pt>
                <c:pt idx="18">
                  <c:v>4.8116873999999997E-2</c:v>
                </c:pt>
                <c:pt idx="19">
                  <c:v>5.1279328499999997</c:v>
                </c:pt>
                <c:pt idx="20">
                  <c:v>8.3121350999999996E-2</c:v>
                </c:pt>
                <c:pt idx="21">
                  <c:v>1.4052136630000001</c:v>
                </c:pt>
                <c:pt idx="22">
                  <c:v>13.010768130000001</c:v>
                </c:pt>
                <c:pt idx="23">
                  <c:v>0.71874806800000002</c:v>
                </c:pt>
                <c:pt idx="24">
                  <c:v>1.710375816</c:v>
                </c:pt>
                <c:pt idx="25">
                  <c:v>63.44670163</c:v>
                </c:pt>
                <c:pt idx="26">
                  <c:v>2.6143489099999999</c:v>
                </c:pt>
                <c:pt idx="27">
                  <c:v>4.6746184309999999</c:v>
                </c:pt>
                <c:pt idx="28">
                  <c:v>226.8253507</c:v>
                </c:pt>
                <c:pt idx="29">
                  <c:v>12.52390228</c:v>
                </c:pt>
                <c:pt idx="30">
                  <c:v>0.188932723</c:v>
                </c:pt>
                <c:pt idx="31">
                  <c:v>5.2563075340000003</c:v>
                </c:pt>
                <c:pt idx="32">
                  <c:v>0.66504282400000003</c:v>
                </c:pt>
                <c:pt idx="33">
                  <c:v>1.368064929</c:v>
                </c:pt>
                <c:pt idx="34">
                  <c:v>25.701949209999999</c:v>
                </c:pt>
                <c:pt idx="35">
                  <c:v>1.6134653059999999</c:v>
                </c:pt>
                <c:pt idx="36">
                  <c:v>3.6295792E-2</c:v>
                </c:pt>
                <c:pt idx="37">
                  <c:v>1.9262452249999999</c:v>
                </c:pt>
                <c:pt idx="38">
                  <c:v>0.50371898299999995</c:v>
                </c:pt>
                <c:pt idx="39">
                  <c:v>0.26025962899999999</c:v>
                </c:pt>
                <c:pt idx="40">
                  <c:v>0.64646191099999994</c:v>
                </c:pt>
                <c:pt idx="41">
                  <c:v>1.5586822650000001</c:v>
                </c:pt>
                <c:pt idx="42">
                  <c:v>0.25696604299999998</c:v>
                </c:pt>
                <c:pt idx="43">
                  <c:v>11.413919979999999</c:v>
                </c:pt>
                <c:pt idx="44">
                  <c:v>13.572141970000001</c:v>
                </c:pt>
                <c:pt idx="45">
                  <c:v>1.7506344810000001</c:v>
                </c:pt>
                <c:pt idx="46">
                  <c:v>22.504298850000001</c:v>
                </c:pt>
                <c:pt idx="47">
                  <c:v>43.370161170000003</c:v>
                </c:pt>
                <c:pt idx="48">
                  <c:v>0.14278380399999999</c:v>
                </c:pt>
                <c:pt idx="49">
                  <c:v>1.2883232069999999</c:v>
                </c:pt>
                <c:pt idx="50">
                  <c:v>1.015833115</c:v>
                </c:pt>
                <c:pt idx="51">
                  <c:v>1.0305781620000001</c:v>
                </c:pt>
                <c:pt idx="52">
                  <c:v>1.3050026669999999</c:v>
                </c:pt>
                <c:pt idx="53">
                  <c:v>4.2354755089999996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39-475D-9B78-8E155E50AFFC}"/>
            </c:ext>
          </c:extLst>
        </c:ser>
        <c:ser>
          <c:idx val="1"/>
          <c:order val="1"/>
          <c:tx>
            <c:strRef>
              <c:f>'CijEst2019and2010 Vertical'!$AM$86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9"/>
              <c:layout>
                <c:manualLayout>
                  <c:x val="-4.0591960767497028E-2"/>
                  <c:y val="-1.61643325728697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39-475D-9B78-8E155E50AF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Vertical'!$AJ$87:$AK$140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Black&amp;College&amp;Younger</c:v>
                  </c:pt>
                  <c:pt idx="18">
                    <c:v>Male: Black&amp;College&amp;Middle</c:v>
                  </c:pt>
                  <c:pt idx="36">
                    <c:v>Male:Black&amp;College&amp;Older</c:v>
                  </c:pt>
                </c:lvl>
              </c:multiLvlStrCache>
            </c:multiLvlStrRef>
          </c:cat>
          <c:val>
            <c:numRef>
              <c:f>'CijEst2019and2010 Vertical'!$AM$87:$AM$140</c:f>
              <c:numCache>
                <c:formatCode>0.0</c:formatCode>
                <c:ptCount val="54"/>
                <c:pt idx="0">
                  <c:v>0.144102107509361</c:v>
                </c:pt>
                <c:pt idx="1">
                  <c:v>15.0135942688788</c:v>
                </c:pt>
                <c:pt idx="2">
                  <c:v>0.40034395179250898</c:v>
                </c:pt>
                <c:pt idx="3">
                  <c:v>39.159573223417503</c:v>
                </c:pt>
                <c:pt idx="4">
                  <c:v>3.32271026327559</c:v>
                </c:pt>
                <c:pt idx="5">
                  <c:v>0.179094149915731</c:v>
                </c:pt>
                <c:pt idx="6">
                  <c:v>2.0420732031096902</c:v>
                </c:pt>
                <c:pt idx="7">
                  <c:v>67.712186536451298</c:v>
                </c:pt>
                <c:pt idx="8">
                  <c:v>9.3243402635197796</c:v>
                </c:pt>
                <c:pt idx="9">
                  <c:v>769.59209389997102</c:v>
                </c:pt>
                <c:pt idx="10">
                  <c:v>52.405738930746097</c:v>
                </c:pt>
                <c:pt idx="11">
                  <c:v>0.99105476520161695</c:v>
                </c:pt>
                <c:pt idx="12">
                  <c:v>0.31253360353977899</c:v>
                </c:pt>
                <c:pt idx="13">
                  <c:v>26.864707950265601</c:v>
                </c:pt>
                <c:pt idx="14">
                  <c:v>2.5997584380012899</c:v>
                </c:pt>
                <c:pt idx="15">
                  <c:v>49.627821640402203</c:v>
                </c:pt>
                <c:pt idx="16">
                  <c:v>2.0393766756211198</c:v>
                </c:pt>
                <c:pt idx="17">
                  <c:v>1.8944631700516801</c:v>
                </c:pt>
                <c:pt idx="18">
                  <c:v>5.5354741688175599E-2</c:v>
                </c:pt>
                <c:pt idx="19">
                  <c:v>1.75189356481417</c:v>
                </c:pt>
                <c:pt idx="20">
                  <c:v>0.51527724198376301</c:v>
                </c:pt>
                <c:pt idx="21">
                  <c:v>5.0592478703107897</c:v>
                </c:pt>
                <c:pt idx="22">
                  <c:v>3.8685524017372002</c:v>
                </c:pt>
                <c:pt idx="23">
                  <c:v>0.13816239833293001</c:v>
                </c:pt>
                <c:pt idx="24">
                  <c:v>0.31327069028909399</c:v>
                </c:pt>
                <c:pt idx="25">
                  <c:v>16.921651622548598</c:v>
                </c:pt>
                <c:pt idx="26">
                  <c:v>26.856247680584602</c:v>
                </c:pt>
                <c:pt idx="27">
                  <c:v>91.214609122532707</c:v>
                </c:pt>
                <c:pt idx="28">
                  <c:v>133.42868289740599</c:v>
                </c:pt>
                <c:pt idx="29">
                  <c:v>0.76522415135908795</c:v>
                </c:pt>
                <c:pt idx="30">
                  <c:v>0.24220477076078001</c:v>
                </c:pt>
                <c:pt idx="31">
                  <c:v>2.3055105592976899</c:v>
                </c:pt>
                <c:pt idx="32">
                  <c:v>4.0119857130529004</c:v>
                </c:pt>
                <c:pt idx="33">
                  <c:v>4.8879855752577503</c:v>
                </c:pt>
                <c:pt idx="34">
                  <c:v>6.3679060193298103</c:v>
                </c:pt>
                <c:pt idx="35">
                  <c:v>1.4619348718793299</c:v>
                </c:pt>
                <c:pt idx="36">
                  <c:v>4.6932293087746102E-2</c:v>
                </c:pt>
                <c:pt idx="37">
                  <c:v>0.49057215300933299</c:v>
                </c:pt>
                <c:pt idx="38">
                  <c:v>8.7354922479523894E-2</c:v>
                </c:pt>
                <c:pt idx="39">
                  <c:v>0.39125008853243198</c:v>
                </c:pt>
                <c:pt idx="40">
                  <c:v>0.27207744588628802</c:v>
                </c:pt>
                <c:pt idx="41">
                  <c:v>0.117468398037109</c:v>
                </c:pt>
                <c:pt idx="42">
                  <c:v>0.26721768067180401</c:v>
                </c:pt>
                <c:pt idx="43">
                  <c:v>1.42781245299195</c:v>
                </c:pt>
                <c:pt idx="44">
                  <c:v>0.43554802506367502</c:v>
                </c:pt>
                <c:pt idx="45">
                  <c:v>2.5694928424172301</c:v>
                </c:pt>
                <c:pt idx="46">
                  <c:v>1.2258693998740999</c:v>
                </c:pt>
                <c:pt idx="47">
                  <c:v>0.65737151327092702</c:v>
                </c:pt>
                <c:pt idx="48">
                  <c:v>0.20563760795517499</c:v>
                </c:pt>
                <c:pt idx="49">
                  <c:v>1.9717840152784101</c:v>
                </c:pt>
                <c:pt idx="50">
                  <c:v>0.84698403118651799</c:v>
                </c:pt>
                <c:pt idx="51">
                  <c:v>2.0521436175897398</c:v>
                </c:pt>
                <c:pt idx="52">
                  <c:v>1.3429795951312</c:v>
                </c:pt>
                <c:pt idx="53">
                  <c:v>1.25031589075728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39-475D-9B78-8E155E50A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323536"/>
        <c:axId val="993324016"/>
      </c:barChart>
      <c:catAx>
        <c:axId val="99332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4016"/>
        <c:crosses val="autoZero"/>
        <c:auto val="1"/>
        <c:lblAlgn val="ctr"/>
        <c:lblOffset val="100"/>
        <c:noMultiLvlLbl val="0"/>
      </c:catAx>
      <c:valAx>
        <c:axId val="993324016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ysClr val="windowText" lastClr="000000"/>
          </a:solidFill>
          <a:latin typeface="Garamond" panose="02020404030301010803" pitchFamily="18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'CijEst2019and2010 Vertical'!$AL$146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E3D-4477-8731-ADB1413638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Vertical'!$AJ$147:$AK$200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Others&amp;College&amp;Younger</c:v>
                  </c:pt>
                  <c:pt idx="18">
                    <c:v>Male: Others&amp;College&amp;Middle</c:v>
                  </c:pt>
                  <c:pt idx="36">
                    <c:v>Male:Others&amp;College&amp;Older</c:v>
                  </c:pt>
                </c:lvl>
              </c:multiLvlStrCache>
            </c:multiLvlStrRef>
          </c:cat>
          <c:val>
            <c:numRef>
              <c:f>'CijEst2019and2010 Vertical'!$AL$147:$AL$200</c:f>
              <c:numCache>
                <c:formatCode>0.0</c:formatCode>
                <c:ptCount val="54"/>
                <c:pt idx="0">
                  <c:v>0.32713009599999998</c:v>
                </c:pt>
                <c:pt idx="1">
                  <c:v>0.29202813900000002</c:v>
                </c:pt>
                <c:pt idx="2">
                  <c:v>5.6855304000000002E-2</c:v>
                </c:pt>
                <c:pt idx="3">
                  <c:v>5.3756201990000001</c:v>
                </c:pt>
                <c:pt idx="4">
                  <c:v>3.264825578</c:v>
                </c:pt>
                <c:pt idx="5">
                  <c:v>6.1265633E-2</c:v>
                </c:pt>
                <c:pt idx="6">
                  <c:v>0.23308011200000001</c:v>
                </c:pt>
                <c:pt idx="7">
                  <c:v>1.0318223280000001</c:v>
                </c:pt>
                <c:pt idx="8">
                  <c:v>0.29931872799999998</c:v>
                </c:pt>
                <c:pt idx="9">
                  <c:v>1.5864949779999999</c:v>
                </c:pt>
                <c:pt idx="10">
                  <c:v>1.557643117</c:v>
                </c:pt>
                <c:pt idx="11">
                  <c:v>0.35574931300000001</c:v>
                </c:pt>
                <c:pt idx="12">
                  <c:v>1.024596566</c:v>
                </c:pt>
                <c:pt idx="13">
                  <c:v>6.9179494129999997</c:v>
                </c:pt>
                <c:pt idx="14">
                  <c:v>1.3624088139999999</c:v>
                </c:pt>
                <c:pt idx="15">
                  <c:v>26.941773359999999</c:v>
                </c:pt>
                <c:pt idx="16">
                  <c:v>17.37609363</c:v>
                </c:pt>
                <c:pt idx="17">
                  <c:v>1.093933544</c:v>
                </c:pt>
                <c:pt idx="18">
                  <c:v>0.16357005499999999</c:v>
                </c:pt>
                <c:pt idx="19">
                  <c:v>6.5954390180000004</c:v>
                </c:pt>
                <c:pt idx="20">
                  <c:v>0.192207512</c:v>
                </c:pt>
                <c:pt idx="21">
                  <c:v>1.1657437509999999</c:v>
                </c:pt>
                <c:pt idx="22">
                  <c:v>28.212704429999999</c:v>
                </c:pt>
                <c:pt idx="23">
                  <c:v>1.4781424240000001</c:v>
                </c:pt>
                <c:pt idx="24">
                  <c:v>0.195272948</c:v>
                </c:pt>
                <c:pt idx="25">
                  <c:v>3.4844570130000001</c:v>
                </c:pt>
                <c:pt idx="26">
                  <c:v>0.25015441300000002</c:v>
                </c:pt>
                <c:pt idx="27">
                  <c:v>1.3306311639999999</c:v>
                </c:pt>
                <c:pt idx="28">
                  <c:v>6.5322822189999998</c:v>
                </c:pt>
                <c:pt idx="29">
                  <c:v>0.59308306700000002</c:v>
                </c:pt>
                <c:pt idx="30">
                  <c:v>1.0805951549999999</c:v>
                </c:pt>
                <c:pt idx="31">
                  <c:v>62.382712679999997</c:v>
                </c:pt>
                <c:pt idx="32">
                  <c:v>4.5489028669999998</c:v>
                </c:pt>
                <c:pt idx="33">
                  <c:v>16.384288890000001</c:v>
                </c:pt>
                <c:pt idx="34">
                  <c:v>293.1231009</c:v>
                </c:pt>
                <c:pt idx="35">
                  <c:v>14.629945019999999</c:v>
                </c:pt>
                <c:pt idx="36">
                  <c:v>4.4817343000000003E-2</c:v>
                </c:pt>
                <c:pt idx="37">
                  <c:v>0.79776576799999999</c:v>
                </c:pt>
                <c:pt idx="38">
                  <c:v>0.92990896700000003</c:v>
                </c:pt>
                <c:pt idx="39">
                  <c:v>0.32167416300000001</c:v>
                </c:pt>
                <c:pt idx="40">
                  <c:v>2.3317240780000001</c:v>
                </c:pt>
                <c:pt idx="41">
                  <c:v>3.5865437500000001</c:v>
                </c:pt>
                <c:pt idx="42">
                  <c:v>0.31798094900000001</c:v>
                </c:pt>
                <c:pt idx="43">
                  <c:v>1.402728784</c:v>
                </c:pt>
                <c:pt idx="44">
                  <c:v>0.81632108699999995</c:v>
                </c:pt>
                <c:pt idx="45">
                  <c:v>2.163622245</c:v>
                </c:pt>
                <c:pt idx="46">
                  <c:v>2.1319538069999999</c:v>
                </c:pt>
                <c:pt idx="47">
                  <c:v>2.8942604689999998</c:v>
                </c:pt>
                <c:pt idx="48">
                  <c:v>0.176202887</c:v>
                </c:pt>
                <c:pt idx="49">
                  <c:v>15.934541830000001</c:v>
                </c:pt>
                <c:pt idx="50">
                  <c:v>16.807123449999999</c:v>
                </c:pt>
                <c:pt idx="51">
                  <c:v>2.5626404410000001</c:v>
                </c:pt>
                <c:pt idx="52">
                  <c:v>14.43741775</c:v>
                </c:pt>
                <c:pt idx="53">
                  <c:v>55.439358599999998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D-4477-8731-ADB141363803}"/>
            </c:ext>
          </c:extLst>
        </c:ser>
        <c:ser>
          <c:idx val="1"/>
          <c:order val="1"/>
          <c:tx>
            <c:strRef>
              <c:f>'CijEst2019and2010 Vertical'!$AM$146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5"/>
              <c:layout>
                <c:manualLayout>
                  <c:x val="-1.5792439382968773E-2"/>
                  <c:y val="1.97564064779517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E3D-4477-8731-ADB1413638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'CijEst2019and2010 Vertical'!$AJ$147:$AK$200</c:f>
              <c:multiLvlStrCache>
                <c:ptCount val="54"/>
                <c:lvl>
                  <c:pt idx="0">
                    <c:v>White&amp;HS&amp;Younger</c:v>
                  </c:pt>
                  <c:pt idx="1">
                    <c:v>White&amp;HS&amp;Middle</c:v>
                  </c:pt>
                  <c:pt idx="2">
                    <c:v>White&amp;HS&amp;Older</c:v>
                  </c:pt>
                  <c:pt idx="3">
                    <c:v>White&amp;College&amp;Younger</c:v>
                  </c:pt>
                  <c:pt idx="4">
                    <c:v>White&amp;College&amp;Middle</c:v>
                  </c:pt>
                  <c:pt idx="5">
                    <c:v>White&amp;College&amp;Older</c:v>
                  </c:pt>
                  <c:pt idx="6">
                    <c:v>Black&amp;HS&amp;Younger</c:v>
                  </c:pt>
                  <c:pt idx="7">
                    <c:v>Black&amp;HS&amp;Middle</c:v>
                  </c:pt>
                  <c:pt idx="8">
                    <c:v>Black&amp;HS&amp;Older</c:v>
                  </c:pt>
                  <c:pt idx="9">
                    <c:v>Black&amp;College&amp;Younger</c:v>
                  </c:pt>
                  <c:pt idx="10">
                    <c:v>Black&amp;College&amp;Middle</c:v>
                  </c:pt>
                  <c:pt idx="11">
                    <c:v>Black&amp;College&amp;Older</c:v>
                  </c:pt>
                  <c:pt idx="12">
                    <c:v>Others&amp;HS&amp;Younger</c:v>
                  </c:pt>
                  <c:pt idx="13">
                    <c:v>Others&amp;HS&amp;Middle</c:v>
                  </c:pt>
                  <c:pt idx="14">
                    <c:v>Others&amp;HS&amp;Older</c:v>
                  </c:pt>
                  <c:pt idx="15">
                    <c:v>Others&amp;College&amp;Younger</c:v>
                  </c:pt>
                  <c:pt idx="16">
                    <c:v>Others&amp;College&amp;Middle</c:v>
                  </c:pt>
                  <c:pt idx="17">
                    <c:v>Female: Others&amp;College&amp;Older</c:v>
                  </c:pt>
                  <c:pt idx="18">
                    <c:v>White&amp;HS&amp;Younger</c:v>
                  </c:pt>
                  <c:pt idx="19">
                    <c:v>White&amp;HS&amp;Middle</c:v>
                  </c:pt>
                  <c:pt idx="20">
                    <c:v>White&amp;HS&amp;Older</c:v>
                  </c:pt>
                  <c:pt idx="21">
                    <c:v>White&amp;College&amp;Younger</c:v>
                  </c:pt>
                  <c:pt idx="22">
                    <c:v>White&amp;College&amp;Middle</c:v>
                  </c:pt>
                  <c:pt idx="23">
                    <c:v>White&amp;College&amp;Older</c:v>
                  </c:pt>
                  <c:pt idx="24">
                    <c:v>Black&amp;HS&amp;Younger</c:v>
                  </c:pt>
                  <c:pt idx="25">
                    <c:v>Black&amp;HS&amp;Middle</c:v>
                  </c:pt>
                  <c:pt idx="26">
                    <c:v>Black&amp;HS&amp;Older</c:v>
                  </c:pt>
                  <c:pt idx="27">
                    <c:v>Black&amp;College&amp;Younger</c:v>
                  </c:pt>
                  <c:pt idx="28">
                    <c:v>Black&amp;College&amp;Middle</c:v>
                  </c:pt>
                  <c:pt idx="29">
                    <c:v>Black&amp;College&amp;Older</c:v>
                  </c:pt>
                  <c:pt idx="30">
                    <c:v>Others&amp;HS&amp;Younger</c:v>
                  </c:pt>
                  <c:pt idx="31">
                    <c:v>Others&amp;HS&amp;Middle</c:v>
                  </c:pt>
                  <c:pt idx="32">
                    <c:v>Others&amp;HS&amp;Older</c:v>
                  </c:pt>
                  <c:pt idx="33">
                    <c:v>Others&amp;College&amp;Younger</c:v>
                  </c:pt>
                  <c:pt idx="34">
                    <c:v>Others&amp;College&amp;Middle</c:v>
                  </c:pt>
                  <c:pt idx="35">
                    <c:v>Female: Others&amp;College&amp;Older</c:v>
                  </c:pt>
                  <c:pt idx="36">
                    <c:v>White&amp;HS&amp;Younger</c:v>
                  </c:pt>
                  <c:pt idx="37">
                    <c:v>White&amp;HS&amp;Middle</c:v>
                  </c:pt>
                  <c:pt idx="38">
                    <c:v>White&amp;HS&amp;Older</c:v>
                  </c:pt>
                  <c:pt idx="39">
                    <c:v>White&amp;College&amp;Younger</c:v>
                  </c:pt>
                  <c:pt idx="40">
                    <c:v>White&amp;College&amp;Middle</c:v>
                  </c:pt>
                  <c:pt idx="41">
                    <c:v>White&amp;College&amp;Older</c:v>
                  </c:pt>
                  <c:pt idx="42">
                    <c:v>Black&amp;HS&amp;Younger</c:v>
                  </c:pt>
                  <c:pt idx="43">
                    <c:v>Black&amp;HS&amp;Middle</c:v>
                  </c:pt>
                  <c:pt idx="44">
                    <c:v>Black&amp;HS&amp;Older</c:v>
                  </c:pt>
                  <c:pt idx="45">
                    <c:v>Black&amp;College&amp;Younger</c:v>
                  </c:pt>
                  <c:pt idx="46">
                    <c:v>Black&amp;College&amp;Middle</c:v>
                  </c:pt>
                  <c:pt idx="47">
                    <c:v>Black&amp;College&amp;Older</c:v>
                  </c:pt>
                  <c:pt idx="48">
                    <c:v>Others&amp;HS&amp;Younger</c:v>
                  </c:pt>
                  <c:pt idx="49">
                    <c:v>Others&amp;HS&amp;Middle</c:v>
                  </c:pt>
                  <c:pt idx="50">
                    <c:v>Others&amp;HS&amp;Older</c:v>
                  </c:pt>
                  <c:pt idx="51">
                    <c:v>Others&amp;College&amp;Younger</c:v>
                  </c:pt>
                  <c:pt idx="52">
                    <c:v>Others&amp;College&amp;Middle</c:v>
                  </c:pt>
                  <c:pt idx="53">
                    <c:v>Female: Others&amp;College&amp;Older</c:v>
                  </c:pt>
                </c:lvl>
                <c:lvl>
                  <c:pt idx="0">
                    <c:v>Male: Others&amp;College&amp;Younger</c:v>
                  </c:pt>
                  <c:pt idx="18">
                    <c:v>Male: Others&amp;College&amp;Middle</c:v>
                  </c:pt>
                  <c:pt idx="36">
                    <c:v>Male:Others&amp;College&amp;Older</c:v>
                  </c:pt>
                </c:lvl>
              </c:multiLvlStrCache>
            </c:multiLvlStrRef>
          </c:cat>
          <c:val>
            <c:numRef>
              <c:f>'CijEst2019and2010 Vertical'!$AM$147:$AM$200</c:f>
              <c:numCache>
                <c:formatCode>0.0</c:formatCode>
                <c:ptCount val="54"/>
                <c:pt idx="0">
                  <c:v>0.132732088210501</c:v>
                </c:pt>
                <c:pt idx="1">
                  <c:v>11.108919556768299</c:v>
                </c:pt>
                <c:pt idx="2">
                  <c:v>1.3175497134432801</c:v>
                </c:pt>
                <c:pt idx="3">
                  <c:v>54.688387332198801</c:v>
                </c:pt>
                <c:pt idx="4">
                  <c:v>3.8472511411925598</c:v>
                </c:pt>
                <c:pt idx="5">
                  <c:v>0.10987766899173899</c:v>
                </c:pt>
                <c:pt idx="6">
                  <c:v>0.24946721350882001</c:v>
                </c:pt>
                <c:pt idx="7">
                  <c:v>5.3556728810354999</c:v>
                </c:pt>
                <c:pt idx="8">
                  <c:v>0.40705399147601801</c:v>
                </c:pt>
                <c:pt idx="9">
                  <c:v>19.399222808891</c:v>
                </c:pt>
                <c:pt idx="10">
                  <c:v>1.1489884179569001</c:v>
                </c:pt>
                <c:pt idx="11">
                  <c:v>0.60957559991002797</c:v>
                </c:pt>
                <c:pt idx="12">
                  <c:v>1.93640506988715</c:v>
                </c:pt>
                <c:pt idx="13">
                  <c:v>100.059957197671</c:v>
                </c:pt>
                <c:pt idx="14">
                  <c:v>26.344354255673299</c:v>
                </c:pt>
                <c:pt idx="15">
                  <c:v>909.20228498706797</c:v>
                </c:pt>
                <c:pt idx="16">
                  <c:v>30.334773037283</c:v>
                </c:pt>
                <c:pt idx="17">
                  <c:v>1.1589378047521799</c:v>
                </c:pt>
                <c:pt idx="18">
                  <c:v>4.0473326283151402E-2</c:v>
                </c:pt>
                <c:pt idx="19">
                  <c:v>2.55573075869223</c:v>
                </c:pt>
                <c:pt idx="20">
                  <c:v>0.98517803682803795</c:v>
                </c:pt>
                <c:pt idx="21">
                  <c:v>3.3503420930100298</c:v>
                </c:pt>
                <c:pt idx="22">
                  <c:v>3.2989922091491901</c:v>
                </c:pt>
                <c:pt idx="23">
                  <c:v>0.101348908992413</c:v>
                </c:pt>
                <c:pt idx="24">
                  <c:v>0.231903934802902</c:v>
                </c:pt>
                <c:pt idx="25">
                  <c:v>1.2431928211129999</c:v>
                </c:pt>
                <c:pt idx="26">
                  <c:v>0.37758846976149602</c:v>
                </c:pt>
                <c:pt idx="27">
                  <c:v>2.2150299216417202</c:v>
                </c:pt>
                <c:pt idx="28">
                  <c:v>1.06327115226862</c:v>
                </c:pt>
                <c:pt idx="29">
                  <c:v>0.56270141485134695</c:v>
                </c:pt>
                <c:pt idx="30">
                  <c:v>0.35764111330466097</c:v>
                </c:pt>
                <c:pt idx="31">
                  <c:v>18.7001934983921</c:v>
                </c:pt>
                <c:pt idx="32">
                  <c:v>16.868433558266801</c:v>
                </c:pt>
                <c:pt idx="33">
                  <c:v>45.864572669483302</c:v>
                </c:pt>
                <c:pt idx="34">
                  <c:v>75.7342739411379</c:v>
                </c:pt>
                <c:pt idx="35">
                  <c:v>1.0787693508574501</c:v>
                </c:pt>
                <c:pt idx="36">
                  <c:v>6.6578731007080394E-2</c:v>
                </c:pt>
                <c:pt idx="37">
                  <c:v>0.69943692888451003</c:v>
                </c:pt>
                <c:pt idx="38">
                  <c:v>0.12454342968953599</c:v>
                </c:pt>
                <c:pt idx="39">
                  <c:v>0.553075199944847</c:v>
                </c:pt>
                <c:pt idx="40">
                  <c:v>0.38698336149235601</c:v>
                </c:pt>
                <c:pt idx="41">
                  <c:v>0.167178274726556</c:v>
                </c:pt>
                <c:pt idx="42">
                  <c:v>0.38015852341265399</c:v>
                </c:pt>
                <c:pt idx="43">
                  <c:v>2.0418028695307999</c:v>
                </c:pt>
                <c:pt idx="44">
                  <c:v>0.61725522795676202</c:v>
                </c:pt>
                <c:pt idx="45">
                  <c:v>3.6385708389593798</c:v>
                </c:pt>
                <c:pt idx="46">
                  <c:v>1.74707603824212</c:v>
                </c:pt>
                <c:pt idx="47">
                  <c:v>0.92973648882204696</c:v>
                </c:pt>
                <c:pt idx="48">
                  <c:v>0.29493921603224799</c:v>
                </c:pt>
                <c:pt idx="49">
                  <c:v>2.7920092862748498</c:v>
                </c:pt>
                <c:pt idx="50">
                  <c:v>1.2046046037607201</c:v>
                </c:pt>
                <c:pt idx="51">
                  <c:v>2.9133311239189901</c:v>
                </c:pt>
                <c:pt idx="52">
                  <c:v>1.91416250766381</c:v>
                </c:pt>
                <c:pt idx="53">
                  <c:v>1.76848502460492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D-4477-8731-ADB141363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3323536"/>
        <c:axId val="993324016"/>
      </c:barChart>
      <c:catAx>
        <c:axId val="993323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4016"/>
        <c:crosses val="autoZero"/>
        <c:auto val="1"/>
        <c:lblAlgn val="ctr"/>
        <c:lblOffset val="100"/>
        <c:noMultiLvlLbl val="0"/>
      </c:catAx>
      <c:valAx>
        <c:axId val="993324016"/>
        <c:scaling>
          <c:orientation val="minMax"/>
          <c:max val="9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ysClr val="windowText" lastClr="000000"/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3323536"/>
        <c:crosses val="autoZero"/>
        <c:crossBetween val="between"/>
        <c:majorUnit val="15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ysClr val="windowText" lastClr="000000"/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ysClr val="windowText" lastClr="000000"/>
          </a:solidFill>
          <a:latin typeface="Garamond" panose="02020404030301010803" pitchFamily="18" charset="0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128588</xdr:colOff>
      <xdr:row>26</xdr:row>
      <xdr:rowOff>90484</xdr:rowOff>
    </xdr:from>
    <xdr:to>
      <xdr:col>14</xdr:col>
      <xdr:colOff>295276</xdr:colOff>
      <xdr:row>95</xdr:row>
      <xdr:rowOff>23813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D68998-EB3D-7990-72C6-3B7252AA1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314325</xdr:colOff>
      <xdr:row>26</xdr:row>
      <xdr:rowOff>66675</xdr:rowOff>
    </xdr:from>
    <xdr:to>
      <xdr:col>23</xdr:col>
      <xdr:colOff>481013</xdr:colOff>
      <xdr:row>95</xdr:row>
      <xdr:rowOff>11906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096CBA-6FA3-4559-978D-C333FD1F0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504825</xdr:colOff>
      <xdr:row>26</xdr:row>
      <xdr:rowOff>57151</xdr:rowOff>
    </xdr:from>
    <xdr:to>
      <xdr:col>33</xdr:col>
      <xdr:colOff>61913</xdr:colOff>
      <xdr:row>95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8B33BD-9347-4E43-AA75-5F38D2DD6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104775</xdr:colOff>
      <xdr:row>100</xdr:row>
      <xdr:rowOff>178594</xdr:rowOff>
    </xdr:from>
    <xdr:to>
      <xdr:col>14</xdr:col>
      <xdr:colOff>271463</xdr:colOff>
      <xdr:row>169</xdr:row>
      <xdr:rowOff>83343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6B2B766-284A-4487-9F00-1EBEC13FD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290512</xdr:colOff>
      <xdr:row>101</xdr:row>
      <xdr:rowOff>9525</xdr:rowOff>
    </xdr:from>
    <xdr:to>
      <xdr:col>23</xdr:col>
      <xdr:colOff>457200</xdr:colOff>
      <xdr:row>169</xdr:row>
      <xdr:rowOff>95249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AC6473-DC25-4B0E-AFFE-427BF2EBA9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481012</xdr:colOff>
      <xdr:row>101</xdr:row>
      <xdr:rowOff>0</xdr:rowOff>
    </xdr:from>
    <xdr:to>
      <xdr:col>33</xdr:col>
      <xdr:colOff>38100</xdr:colOff>
      <xdr:row>169</xdr:row>
      <xdr:rowOff>119062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8378BF4-D240-446D-8A25-DE9920615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A658-9891-47B8-A6E9-67C0AE5FD11D}">
  <dimension ref="A1:Y25"/>
  <sheetViews>
    <sheetView showGridLines="0" workbookViewId="0">
      <selection activeCell="B3" sqref="B3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16384" width="9.140625" style="11"/>
  </cols>
  <sheetData>
    <row r="1" spans="1:25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Y1" s="11" t="s">
        <v>17</v>
      </c>
    </row>
    <row r="2" spans="1:25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</row>
    <row r="3" spans="1:25" ht="15.75" x14ac:dyDescent="0.25">
      <c r="B3" s="52" t="s">
        <v>18</v>
      </c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</row>
    <row r="4" spans="1:25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</row>
    <row r="5" spans="1:25" x14ac:dyDescent="0.25">
      <c r="A5" s="76" t="s">
        <v>12</v>
      </c>
      <c r="B5" s="79" t="s">
        <v>1</v>
      </c>
      <c r="C5" s="80" t="s">
        <v>4</v>
      </c>
      <c r="D5" s="19" t="s">
        <v>13</v>
      </c>
      <c r="E5" s="40">
        <v>0.62481255199999997</v>
      </c>
      <c r="F5" s="22">
        <v>1.6889120049999999</v>
      </c>
      <c r="G5" s="29">
        <v>3.5575066000000002E-2</v>
      </c>
      <c r="H5" s="45">
        <v>2.2440844329999998</v>
      </c>
      <c r="I5" s="22">
        <v>0.99977952299999995</v>
      </c>
      <c r="J5" s="22">
        <v>2.389956E-2</v>
      </c>
      <c r="K5" s="22">
        <v>5.4660772000000003E-2</v>
      </c>
      <c r="L5" s="22">
        <v>8.0190841999999998E-2</v>
      </c>
      <c r="M5" s="22">
        <v>1.1619941999999999E-2</v>
      </c>
      <c r="N5" s="22">
        <v>0.30938032500000001</v>
      </c>
      <c r="O5" s="22">
        <v>3.0426697999999999E-2</v>
      </c>
      <c r="P5" s="22">
        <v>1.3845465E-2</v>
      </c>
      <c r="Q5" s="22">
        <v>0.171406324</v>
      </c>
      <c r="R5" s="22">
        <v>0.36442796799999999</v>
      </c>
      <c r="S5" s="22">
        <v>1.7771720000000001E-2</v>
      </c>
      <c r="T5" s="22">
        <v>0.58580895799999999</v>
      </c>
      <c r="U5" s="22">
        <v>0.27333233699999998</v>
      </c>
      <c r="V5" s="22">
        <v>2.1348730999999999E-2</v>
      </c>
      <c r="Y5" s="25">
        <f>MAX(E5:V5)</f>
        <v>2.2440844329999998</v>
      </c>
    </row>
    <row r="6" spans="1:25" x14ac:dyDescent="0.25">
      <c r="A6" s="77"/>
      <c r="B6" s="79"/>
      <c r="C6" s="80"/>
      <c r="D6" s="19" t="s">
        <v>14</v>
      </c>
      <c r="E6" s="30">
        <v>0.88430126399999998</v>
      </c>
      <c r="F6" s="26">
        <v>54.127314800000001</v>
      </c>
      <c r="G6" s="31">
        <v>1.8504768190000001</v>
      </c>
      <c r="H6" s="23">
        <v>3.7125056569999999</v>
      </c>
      <c r="I6" s="23">
        <v>35.167752389999997</v>
      </c>
      <c r="J6" s="23">
        <v>1.931333988</v>
      </c>
      <c r="K6" s="23">
        <v>0.107898733</v>
      </c>
      <c r="L6" s="23">
        <v>2.1481015079999999</v>
      </c>
      <c r="M6" s="23">
        <v>0.13811093099999999</v>
      </c>
      <c r="N6" s="23">
        <v>0.36653887899999998</v>
      </c>
      <c r="O6" s="23">
        <v>1.444602728</v>
      </c>
      <c r="P6" s="23">
        <v>0.33139898499999998</v>
      </c>
      <c r="Q6" s="23">
        <v>0.29942735999999998</v>
      </c>
      <c r="R6" s="23">
        <v>10.84080309</v>
      </c>
      <c r="S6" s="23">
        <v>0.42571435400000002</v>
      </c>
      <c r="T6" s="23">
        <v>0.43341300900000002</v>
      </c>
      <c r="U6" s="23">
        <v>9.6241110639999992</v>
      </c>
      <c r="V6" s="23">
        <v>1.2717615680000001</v>
      </c>
      <c r="Y6" s="25">
        <f t="shared" ref="Y6:Y22" si="0">MAX(E6:V6)</f>
        <v>54.127314800000001</v>
      </c>
    </row>
    <row r="7" spans="1:25" x14ac:dyDescent="0.25">
      <c r="A7" s="77"/>
      <c r="B7" s="79"/>
      <c r="C7" s="80"/>
      <c r="D7" s="19" t="s">
        <v>15</v>
      </c>
      <c r="E7" s="32">
        <v>2.9986723999999999E-2</v>
      </c>
      <c r="F7" s="24">
        <v>3.0315727140000002</v>
      </c>
      <c r="G7" s="33">
        <v>5.3749931740000001</v>
      </c>
      <c r="H7" s="23">
        <v>5.3714154E-2</v>
      </c>
      <c r="I7" s="23">
        <v>1.5966643840000001</v>
      </c>
      <c r="J7" s="23">
        <v>4.8650362640000004</v>
      </c>
      <c r="K7" s="23">
        <v>2.6499360999999999E-2</v>
      </c>
      <c r="L7" s="23">
        <v>0.47141955099999999</v>
      </c>
      <c r="M7" s="23">
        <v>0.13651691699999999</v>
      </c>
      <c r="N7" s="23">
        <v>0.180246717</v>
      </c>
      <c r="O7" s="23">
        <v>0.177982426</v>
      </c>
      <c r="P7" s="23">
        <v>0.24227136499999999</v>
      </c>
      <c r="Q7" s="23">
        <v>2.9426706E-2</v>
      </c>
      <c r="R7" s="23">
        <v>1.3323763390000001</v>
      </c>
      <c r="S7" s="23">
        <v>1.557032304</v>
      </c>
      <c r="T7" s="23">
        <v>0.213299457</v>
      </c>
      <c r="U7" s="23">
        <v>1.3332879529999999</v>
      </c>
      <c r="V7" s="23">
        <v>2.4411439289999999</v>
      </c>
      <c r="Y7" s="25">
        <f t="shared" si="0"/>
        <v>5.3749931740000001</v>
      </c>
    </row>
    <row r="8" spans="1:25" x14ac:dyDescent="0.25">
      <c r="A8" s="77"/>
      <c r="B8" s="79"/>
      <c r="C8" s="80" t="s">
        <v>5</v>
      </c>
      <c r="D8" s="21" t="s">
        <v>11</v>
      </c>
      <c r="E8" s="28">
        <v>1.1576264919999999</v>
      </c>
      <c r="F8" s="23">
        <v>4.3259494040000002</v>
      </c>
      <c r="G8" s="23">
        <v>5.9455828000000002E-2</v>
      </c>
      <c r="H8" s="34">
        <v>33.597610590000002</v>
      </c>
      <c r="I8" s="22">
        <v>17.403603180000001</v>
      </c>
      <c r="J8" s="29">
        <v>4.8099866999999998E-2</v>
      </c>
      <c r="K8" s="23">
        <v>6.1150040000000003E-2</v>
      </c>
      <c r="L8" s="23">
        <v>1.0790948549999999</v>
      </c>
      <c r="M8" s="23">
        <v>7.7988011999999995E-2</v>
      </c>
      <c r="N8" s="23">
        <v>0.41477594400000001</v>
      </c>
      <c r="O8" s="23">
        <v>1.0150914069999999</v>
      </c>
      <c r="P8" s="23">
        <v>9.3245126999999997E-2</v>
      </c>
      <c r="Q8" s="23">
        <v>0.33602373299999999</v>
      </c>
      <c r="R8" s="23">
        <v>0.92560755900000002</v>
      </c>
      <c r="S8" s="23">
        <v>0.119482637</v>
      </c>
      <c r="T8" s="23">
        <v>7.5408119740000004</v>
      </c>
      <c r="U8" s="23">
        <v>5.498209492</v>
      </c>
      <c r="V8" s="23">
        <v>0.14331861900000001</v>
      </c>
      <c r="Y8" s="25">
        <f t="shared" si="0"/>
        <v>33.597610590000002</v>
      </c>
    </row>
    <row r="9" spans="1:25" x14ac:dyDescent="0.25">
      <c r="A9" s="77"/>
      <c r="B9" s="79"/>
      <c r="C9" s="80"/>
      <c r="D9" s="21" t="s">
        <v>6</v>
      </c>
      <c r="E9" s="23">
        <v>0.429296966</v>
      </c>
      <c r="F9" s="23">
        <v>28.29677191</v>
      </c>
      <c r="G9" s="23">
        <v>0.73007783599999998</v>
      </c>
      <c r="H9" s="30">
        <v>6.2381378300000003</v>
      </c>
      <c r="I9" s="26">
        <v>116.9275458</v>
      </c>
      <c r="J9" s="31">
        <v>4.049201965</v>
      </c>
      <c r="K9" s="23">
        <v>9.4130908999999999E-2</v>
      </c>
      <c r="L9" s="23">
        <v>0.834173418</v>
      </c>
      <c r="M9" s="23">
        <v>5.9988614000000003E-2</v>
      </c>
      <c r="N9" s="23">
        <v>0.31765765200000001</v>
      </c>
      <c r="O9" s="23">
        <v>6.7086931700000001</v>
      </c>
      <c r="P9" s="23">
        <v>0.14340008800000001</v>
      </c>
      <c r="Q9" s="23">
        <v>7.9055994000000004E-2</v>
      </c>
      <c r="R9" s="23">
        <v>8.9522220539999999</v>
      </c>
      <c r="S9" s="23">
        <v>0.634624725</v>
      </c>
      <c r="T9" s="23">
        <v>2.6253340770000002</v>
      </c>
      <c r="U9" s="23">
        <v>40.852237080000002</v>
      </c>
      <c r="V9" s="23">
        <v>3.7352708020000001</v>
      </c>
      <c r="Y9" s="25">
        <f t="shared" si="0"/>
        <v>116.9275458</v>
      </c>
    </row>
    <row r="10" spans="1:25" x14ac:dyDescent="0.25">
      <c r="A10" s="77"/>
      <c r="B10" s="79"/>
      <c r="C10" s="80"/>
      <c r="D10" s="21" t="s">
        <v>7</v>
      </c>
      <c r="E10" s="23">
        <v>4.3955510000000001E-3</v>
      </c>
      <c r="F10" s="23">
        <v>1.9542509779999999</v>
      </c>
      <c r="G10" s="23">
        <v>3.4642158940000001</v>
      </c>
      <c r="H10" s="32">
        <v>0.18786340800000001</v>
      </c>
      <c r="I10" s="24">
        <v>3.8863381829999999</v>
      </c>
      <c r="J10" s="33">
        <v>10.161374009999999</v>
      </c>
      <c r="K10" s="23">
        <v>3.1080555999999999E-2</v>
      </c>
      <c r="L10" s="23">
        <v>0.13736209999999999</v>
      </c>
      <c r="M10" s="23">
        <v>0.23826318499999999</v>
      </c>
      <c r="N10" s="23">
        <v>0.211271178</v>
      </c>
      <c r="O10" s="23">
        <v>0.42063528100000003</v>
      </c>
      <c r="P10" s="23">
        <v>1.186731746</v>
      </c>
      <c r="Q10" s="23">
        <v>1.7244457000000001E-2</v>
      </c>
      <c r="R10" s="23">
        <v>2.5049342710000002</v>
      </c>
      <c r="S10" s="23">
        <v>1.7037326509999999</v>
      </c>
      <c r="T10" s="23">
        <v>0.12533614800000001</v>
      </c>
      <c r="U10" s="23">
        <v>2.03599394</v>
      </c>
      <c r="V10" s="23">
        <v>7.097245236</v>
      </c>
      <c r="Y10" s="25">
        <f t="shared" si="0"/>
        <v>10.161374009999999</v>
      </c>
    </row>
    <row r="11" spans="1:25" x14ac:dyDescent="0.25">
      <c r="A11" s="77"/>
      <c r="B11" s="79" t="s">
        <v>2</v>
      </c>
      <c r="C11" s="80" t="s">
        <v>4</v>
      </c>
      <c r="D11" s="21" t="s">
        <v>11</v>
      </c>
      <c r="E11" s="23">
        <v>7.0962080999999996E-2</v>
      </c>
      <c r="F11" s="23">
        <v>0.46981498599999999</v>
      </c>
      <c r="G11" s="23">
        <v>1.5281404E-2</v>
      </c>
      <c r="H11" s="23">
        <v>0.25457442400000002</v>
      </c>
      <c r="I11" s="23">
        <v>0.22889737099999999</v>
      </c>
      <c r="J11" s="23">
        <v>3.2940298E-2</v>
      </c>
      <c r="K11" s="40">
        <v>1.0049873650000001</v>
      </c>
      <c r="L11" s="22">
        <v>2.216510494</v>
      </c>
      <c r="M11" s="29">
        <v>0.24116460200000001</v>
      </c>
      <c r="N11" s="46">
        <v>4.2700435160000003</v>
      </c>
      <c r="O11" s="23">
        <v>3.1574678999999999</v>
      </c>
      <c r="P11" s="23">
        <v>0.47889541800000002</v>
      </c>
      <c r="Q11" s="23">
        <v>6.9535930999999995E-2</v>
      </c>
      <c r="R11" s="23">
        <v>0.95359931499999995</v>
      </c>
      <c r="S11" s="23">
        <v>0.122630948</v>
      </c>
      <c r="T11" s="23">
        <v>0.50423113600000002</v>
      </c>
      <c r="U11" s="23">
        <v>0.31560970500000002</v>
      </c>
      <c r="V11" s="23">
        <v>0.14698472000000001</v>
      </c>
      <c r="Y11" s="25">
        <f t="shared" si="0"/>
        <v>4.2700435160000003</v>
      </c>
    </row>
    <row r="12" spans="1:25" x14ac:dyDescent="0.25">
      <c r="A12" s="77"/>
      <c r="B12" s="79"/>
      <c r="C12" s="80"/>
      <c r="D12" s="21" t="s">
        <v>6</v>
      </c>
      <c r="E12" s="23">
        <v>2.8663131000000001E-2</v>
      </c>
      <c r="F12" s="23">
        <v>3.8060266829999998</v>
      </c>
      <c r="G12" s="23">
        <v>0.29606660200000001</v>
      </c>
      <c r="H12" s="23">
        <v>0.82612058499999996</v>
      </c>
      <c r="I12" s="23">
        <v>2.366811142</v>
      </c>
      <c r="J12" s="23">
        <v>0.16023849500000001</v>
      </c>
      <c r="K12" s="30">
        <v>1.21370355</v>
      </c>
      <c r="L12" s="41">
        <v>55.315573299999997</v>
      </c>
      <c r="M12" s="31">
        <v>5.1798072150000003</v>
      </c>
      <c r="N12" s="23">
        <v>4.1369186469999999</v>
      </c>
      <c r="O12" s="46">
        <v>59.509246930000003</v>
      </c>
      <c r="P12" s="23">
        <v>7.3958349559999998</v>
      </c>
      <c r="Q12" s="23">
        <v>0.11233655400000001</v>
      </c>
      <c r="R12" s="23">
        <v>7.0534003260000002</v>
      </c>
      <c r="S12" s="23">
        <v>0.79268725200000001</v>
      </c>
      <c r="T12" s="23">
        <v>0.81788047699999999</v>
      </c>
      <c r="U12" s="23">
        <v>4.0581988200000003</v>
      </c>
      <c r="V12" s="23">
        <v>0.47711173000000001</v>
      </c>
      <c r="Y12" s="25">
        <f t="shared" si="0"/>
        <v>59.509246930000003</v>
      </c>
    </row>
    <row r="13" spans="1:25" x14ac:dyDescent="0.25">
      <c r="A13" s="77"/>
      <c r="B13" s="79"/>
      <c r="C13" s="80"/>
      <c r="D13" s="21" t="s">
        <v>7</v>
      </c>
      <c r="E13" s="23">
        <v>1.8886085E-2</v>
      </c>
      <c r="F13" s="23">
        <v>0.33509170799999999</v>
      </c>
      <c r="G13" s="23">
        <v>0.39155282400000002</v>
      </c>
      <c r="H13" s="23">
        <v>0.13473972000000001</v>
      </c>
      <c r="I13" s="23">
        <v>0.33371927400000001</v>
      </c>
      <c r="J13" s="23">
        <v>0.56205881899999999</v>
      </c>
      <c r="K13" s="32">
        <v>0.40078387999999998</v>
      </c>
      <c r="L13" s="24">
        <v>4.7192069950000004</v>
      </c>
      <c r="M13" s="33">
        <v>18.817238740000001</v>
      </c>
      <c r="N13" s="23">
        <v>0.90472275599999996</v>
      </c>
      <c r="O13" s="23">
        <v>3.1264438779999999</v>
      </c>
      <c r="P13" s="23">
        <v>16.154764369999999</v>
      </c>
      <c r="Q13" s="23">
        <v>7.4001877999999993E-2</v>
      </c>
      <c r="R13" s="23">
        <v>0.66991274499999998</v>
      </c>
      <c r="S13" s="23">
        <v>1.046205506</v>
      </c>
      <c r="T13" s="23">
        <v>0.53507814300000001</v>
      </c>
      <c r="U13" s="23">
        <v>0.33535709200000002</v>
      </c>
      <c r="V13" s="23">
        <v>0.62879797500000001</v>
      </c>
      <c r="Y13" s="25">
        <f t="shared" si="0"/>
        <v>18.817238740000001</v>
      </c>
    </row>
    <row r="14" spans="1:25" x14ac:dyDescent="0.25">
      <c r="A14" s="77"/>
      <c r="B14" s="79"/>
      <c r="C14" s="80" t="s">
        <v>5</v>
      </c>
      <c r="D14" s="21" t="s">
        <v>11</v>
      </c>
      <c r="E14" s="23">
        <v>0.19091519800000001</v>
      </c>
      <c r="F14" s="23">
        <v>0.56371948199999999</v>
      </c>
      <c r="G14" s="23">
        <v>0.109783644</v>
      </c>
      <c r="H14" s="23">
        <v>3.1714742739999999</v>
      </c>
      <c r="I14" s="23">
        <v>1.91688433</v>
      </c>
      <c r="J14" s="23">
        <v>0.11782094899999999</v>
      </c>
      <c r="K14" s="28">
        <v>1.8067817610000001</v>
      </c>
      <c r="L14" s="23">
        <v>7.988084465</v>
      </c>
      <c r="M14" s="23">
        <v>0.57530640300000002</v>
      </c>
      <c r="N14" s="34">
        <v>24.450705719999998</v>
      </c>
      <c r="O14" s="22">
        <v>16.54063176</v>
      </c>
      <c r="P14" s="29">
        <v>0.68621405599999996</v>
      </c>
      <c r="Q14" s="23">
        <v>0.24926361699999999</v>
      </c>
      <c r="R14" s="23">
        <v>2.2451951569999999</v>
      </c>
      <c r="S14" s="23">
        <v>0.879262459</v>
      </c>
      <c r="T14" s="23">
        <v>3.6115805910000001</v>
      </c>
      <c r="U14" s="23">
        <v>1.1293846599999999</v>
      </c>
      <c r="V14" s="23">
        <v>1.05914814</v>
      </c>
      <c r="Y14" s="25">
        <f t="shared" si="0"/>
        <v>24.450705719999998</v>
      </c>
    </row>
    <row r="15" spans="1:25" x14ac:dyDescent="0.25">
      <c r="A15" s="77"/>
      <c r="B15" s="79"/>
      <c r="C15" s="80"/>
      <c r="D15" s="21" t="s">
        <v>6</v>
      </c>
      <c r="E15" s="23">
        <v>4.8116873999999997E-2</v>
      </c>
      <c r="F15" s="23">
        <v>5.1279328499999997</v>
      </c>
      <c r="G15" s="23">
        <v>8.3121350999999996E-2</v>
      </c>
      <c r="H15" s="23">
        <v>1.4052136630000001</v>
      </c>
      <c r="I15" s="23">
        <v>13.010768130000001</v>
      </c>
      <c r="J15" s="23">
        <v>0.71874806800000002</v>
      </c>
      <c r="K15" s="23">
        <v>1.710375816</v>
      </c>
      <c r="L15" s="28">
        <v>63.44670163</v>
      </c>
      <c r="M15" s="23">
        <v>2.6143489099999999</v>
      </c>
      <c r="N15" s="30">
        <v>4.6746184309999999</v>
      </c>
      <c r="O15" s="26">
        <v>226.8253507</v>
      </c>
      <c r="P15" s="31">
        <v>12.52390228</v>
      </c>
      <c r="Q15" s="23">
        <v>0.188932723</v>
      </c>
      <c r="R15" s="23">
        <v>5.2563075340000003</v>
      </c>
      <c r="S15" s="23">
        <v>0.66504282400000003</v>
      </c>
      <c r="T15" s="23">
        <v>1.368064929</v>
      </c>
      <c r="U15" s="23">
        <v>25.701949209999999</v>
      </c>
      <c r="V15" s="23">
        <v>1.6134653059999999</v>
      </c>
      <c r="Y15" s="25">
        <f t="shared" si="0"/>
        <v>226.8253507</v>
      </c>
    </row>
    <row r="16" spans="1:25" x14ac:dyDescent="0.25">
      <c r="A16" s="77"/>
      <c r="B16" s="79"/>
      <c r="C16" s="80"/>
      <c r="D16" s="21" t="s">
        <v>7</v>
      </c>
      <c r="E16" s="23">
        <v>3.6295792E-2</v>
      </c>
      <c r="F16" s="23">
        <v>1.9262452249999999</v>
      </c>
      <c r="G16" s="23">
        <v>0.50371898299999995</v>
      </c>
      <c r="H16" s="23">
        <v>0.26025962899999999</v>
      </c>
      <c r="I16" s="23">
        <v>0.64646191099999994</v>
      </c>
      <c r="J16" s="23">
        <v>1.5586822650000001</v>
      </c>
      <c r="K16" s="23">
        <v>0.25696604299999998</v>
      </c>
      <c r="L16" s="23">
        <v>11.413919979999999</v>
      </c>
      <c r="M16" s="23">
        <v>13.572141970000001</v>
      </c>
      <c r="N16" s="32">
        <v>1.7506344810000001</v>
      </c>
      <c r="O16" s="24">
        <v>22.504298850000001</v>
      </c>
      <c r="P16" s="33">
        <v>43.370161170000003</v>
      </c>
      <c r="Q16" s="23">
        <v>0.14278380399999999</v>
      </c>
      <c r="R16" s="23">
        <v>1.2883232069999999</v>
      </c>
      <c r="S16" s="23">
        <v>1.015833115</v>
      </c>
      <c r="T16" s="23">
        <v>1.0305781620000001</v>
      </c>
      <c r="U16" s="23">
        <v>1.3050026669999999</v>
      </c>
      <c r="V16" s="23">
        <v>4.2354755089999996</v>
      </c>
      <c r="Y16" s="25">
        <f t="shared" si="0"/>
        <v>43.370161170000003</v>
      </c>
    </row>
    <row r="17" spans="1:25" x14ac:dyDescent="0.25">
      <c r="A17" s="77"/>
      <c r="B17" s="79" t="s">
        <v>3</v>
      </c>
      <c r="C17" s="80" t="s">
        <v>4</v>
      </c>
      <c r="D17" s="21" t="s">
        <v>11</v>
      </c>
      <c r="E17" s="23">
        <v>0.15560755900000001</v>
      </c>
      <c r="F17" s="23">
        <v>0.55144163199999996</v>
      </c>
      <c r="G17" s="23">
        <v>8.9564299999999996E-3</v>
      </c>
      <c r="H17" s="23">
        <v>0.74269249500000001</v>
      </c>
      <c r="I17" s="23">
        <v>0.29265619500000001</v>
      </c>
      <c r="J17" s="23">
        <v>9.6229450000000008E-3</v>
      </c>
      <c r="K17" s="23">
        <v>7.3659905999999997E-2</v>
      </c>
      <c r="L17" s="23">
        <v>0.32515724800000001</v>
      </c>
      <c r="M17" s="23">
        <v>4.7041265999999998E-2</v>
      </c>
      <c r="N17" s="23">
        <v>0.50084140600000004</v>
      </c>
      <c r="O17" s="23">
        <v>0.12329364800000001</v>
      </c>
      <c r="P17" s="23">
        <v>5.6127631999999997E-2</v>
      </c>
      <c r="Q17" s="40">
        <v>1.364026959</v>
      </c>
      <c r="R17" s="22">
        <v>3.860235254</v>
      </c>
      <c r="S17" s="29">
        <v>0.359585559</v>
      </c>
      <c r="T17" s="46">
        <v>4.1319004149999996</v>
      </c>
      <c r="U17" s="23">
        <v>1.481907954</v>
      </c>
      <c r="V17" s="23">
        <v>0.17359089999999999</v>
      </c>
      <c r="Y17" s="25">
        <f t="shared" si="0"/>
        <v>4.1319004149999996</v>
      </c>
    </row>
    <row r="18" spans="1:25" x14ac:dyDescent="0.25">
      <c r="A18" s="77"/>
      <c r="B18" s="79"/>
      <c r="C18" s="80"/>
      <c r="D18" s="21" t="s">
        <v>6</v>
      </c>
      <c r="E18" s="23">
        <v>0.13054933199999999</v>
      </c>
      <c r="F18" s="23">
        <v>12.09705222</v>
      </c>
      <c r="G18" s="23">
        <v>0.280392158</v>
      </c>
      <c r="H18" s="23">
        <v>0.46723862399999999</v>
      </c>
      <c r="I18" s="23">
        <v>9.3366127510000005</v>
      </c>
      <c r="J18" s="23">
        <v>0.35929286599999999</v>
      </c>
      <c r="K18" s="23">
        <v>0.23131492400000001</v>
      </c>
      <c r="L18" s="23">
        <v>2.04004026</v>
      </c>
      <c r="M18" s="23">
        <v>0.29566025800000001</v>
      </c>
      <c r="N18" s="23">
        <v>1.569571042</v>
      </c>
      <c r="O18" s="23">
        <v>3.1169597420000001</v>
      </c>
      <c r="P18" s="23">
        <v>0.35213897199999999</v>
      </c>
      <c r="Q18" s="35">
        <v>2.1715942529999999</v>
      </c>
      <c r="R18" s="26">
        <v>148.50305349999999</v>
      </c>
      <c r="S18" s="31">
        <v>18.898145929999998</v>
      </c>
      <c r="T18" s="23">
        <v>10.150962140000001</v>
      </c>
      <c r="U18" s="23">
        <v>58.910236429999998</v>
      </c>
      <c r="V18" s="23">
        <v>9.7672518729999993</v>
      </c>
      <c r="Y18" s="25">
        <f t="shared" si="0"/>
        <v>148.50305349999999</v>
      </c>
    </row>
    <row r="19" spans="1:25" x14ac:dyDescent="0.25">
      <c r="A19" s="77"/>
      <c r="B19" s="79"/>
      <c r="C19" s="80"/>
      <c r="D19" s="21" t="s">
        <v>7</v>
      </c>
      <c r="E19" s="23">
        <v>3.3160948000000003E-2</v>
      </c>
      <c r="F19" s="23">
        <v>1.1920628419999999</v>
      </c>
      <c r="G19" s="23">
        <v>0.92335421100000004</v>
      </c>
      <c r="H19" s="23">
        <v>0.237980265</v>
      </c>
      <c r="I19" s="23">
        <v>0.72461527199999998</v>
      </c>
      <c r="J19" s="23">
        <v>1.23919976</v>
      </c>
      <c r="K19" s="23">
        <v>0.23465851400000001</v>
      </c>
      <c r="L19" s="23">
        <v>1.037292654</v>
      </c>
      <c r="M19" s="23">
        <v>1.2082576140000001</v>
      </c>
      <c r="N19" s="23">
        <v>1.6001545530000001</v>
      </c>
      <c r="O19" s="23">
        <v>0.78762139600000003</v>
      </c>
      <c r="P19" s="23">
        <v>1.0819732230000001</v>
      </c>
      <c r="Q19" s="32">
        <v>0.39245900700000003</v>
      </c>
      <c r="R19" s="24">
        <v>18.98304834</v>
      </c>
      <c r="S19" s="33">
        <v>44.393161020000001</v>
      </c>
      <c r="T19" s="23">
        <v>1.9041369909999999</v>
      </c>
      <c r="U19" s="23">
        <v>5.9493580850000001</v>
      </c>
      <c r="V19" s="23">
        <v>18.900157220000001</v>
      </c>
      <c r="Y19" s="25">
        <f t="shared" si="0"/>
        <v>44.393161020000001</v>
      </c>
    </row>
    <row r="20" spans="1:25" x14ac:dyDescent="0.25">
      <c r="A20" s="77"/>
      <c r="B20" s="79"/>
      <c r="C20" s="80" t="s">
        <v>5</v>
      </c>
      <c r="D20" s="21" t="s">
        <v>11</v>
      </c>
      <c r="E20" s="23">
        <v>0.32713009599999998</v>
      </c>
      <c r="F20" s="23">
        <v>0.29202813900000002</v>
      </c>
      <c r="G20" s="23">
        <v>5.6855304000000002E-2</v>
      </c>
      <c r="H20" s="23">
        <v>5.3756201990000001</v>
      </c>
      <c r="I20" s="23">
        <v>3.264825578</v>
      </c>
      <c r="J20" s="23">
        <v>6.1265633E-2</v>
      </c>
      <c r="K20" s="23">
        <v>0.23308011200000001</v>
      </c>
      <c r="L20" s="23">
        <v>1.0318223280000001</v>
      </c>
      <c r="M20" s="23">
        <v>0.29931872799999998</v>
      </c>
      <c r="N20" s="23">
        <v>1.5864949779999999</v>
      </c>
      <c r="O20" s="23">
        <v>1.557643117</v>
      </c>
      <c r="P20" s="23">
        <v>0.35574931300000001</v>
      </c>
      <c r="Q20" s="23">
        <v>1.024596566</v>
      </c>
      <c r="R20" s="23">
        <v>6.9179494129999997</v>
      </c>
      <c r="S20" s="23">
        <v>1.3624088139999999</v>
      </c>
      <c r="T20" s="34">
        <v>26.941773359999999</v>
      </c>
      <c r="U20" s="22">
        <v>17.37609363</v>
      </c>
      <c r="V20" s="22">
        <v>1.093933544</v>
      </c>
      <c r="Y20" s="25">
        <f t="shared" si="0"/>
        <v>26.941773359999999</v>
      </c>
    </row>
    <row r="21" spans="1:25" x14ac:dyDescent="0.25">
      <c r="A21" s="77"/>
      <c r="B21" s="79"/>
      <c r="C21" s="80"/>
      <c r="D21" s="21" t="s">
        <v>6</v>
      </c>
      <c r="E21" s="23">
        <v>0.16357005499999999</v>
      </c>
      <c r="F21" s="23">
        <v>6.5954390180000004</v>
      </c>
      <c r="G21" s="23">
        <v>0.192207512</v>
      </c>
      <c r="H21" s="23">
        <v>1.1657437509999999</v>
      </c>
      <c r="I21" s="23">
        <v>28.212704429999999</v>
      </c>
      <c r="J21" s="23">
        <v>1.4781424240000001</v>
      </c>
      <c r="K21" s="23">
        <v>0.195272948</v>
      </c>
      <c r="L21" s="23">
        <v>3.4844570130000001</v>
      </c>
      <c r="M21" s="23">
        <v>0.25015441300000002</v>
      </c>
      <c r="N21" s="23">
        <v>1.3306311639999999</v>
      </c>
      <c r="O21" s="23">
        <v>6.5322822189999998</v>
      </c>
      <c r="P21" s="23">
        <v>0.59308306700000002</v>
      </c>
      <c r="Q21" s="23">
        <v>1.0805951549999999</v>
      </c>
      <c r="R21" s="23">
        <v>62.382712679999997</v>
      </c>
      <c r="S21" s="23">
        <v>4.5489028669999998</v>
      </c>
      <c r="T21" s="30">
        <v>16.384288890000001</v>
      </c>
      <c r="U21" s="26">
        <v>293.1231009</v>
      </c>
      <c r="V21" s="23">
        <v>14.629945019999999</v>
      </c>
      <c r="Y21" s="25">
        <f t="shared" si="0"/>
        <v>293.1231009</v>
      </c>
    </row>
    <row r="22" spans="1:25" x14ac:dyDescent="0.25">
      <c r="A22" s="78"/>
      <c r="B22" s="79"/>
      <c r="C22" s="80"/>
      <c r="D22" s="21" t="s">
        <v>7</v>
      </c>
      <c r="E22" s="24">
        <v>4.4817343000000003E-2</v>
      </c>
      <c r="F22" s="24">
        <v>0.79776576799999999</v>
      </c>
      <c r="G22" s="24">
        <v>0.92990896700000003</v>
      </c>
      <c r="H22" s="24">
        <v>0.32167416300000001</v>
      </c>
      <c r="I22" s="24">
        <v>2.3317240780000001</v>
      </c>
      <c r="J22" s="24">
        <v>3.5865437500000001</v>
      </c>
      <c r="K22" s="24">
        <v>0.31798094900000001</v>
      </c>
      <c r="L22" s="24">
        <v>1.402728784</v>
      </c>
      <c r="M22" s="24">
        <v>0.81632108699999995</v>
      </c>
      <c r="N22" s="24">
        <v>2.163622245</v>
      </c>
      <c r="O22" s="24">
        <v>2.1319538069999999</v>
      </c>
      <c r="P22" s="24">
        <v>2.8942604689999998</v>
      </c>
      <c r="Q22" s="24">
        <v>0.176202887</v>
      </c>
      <c r="R22" s="24">
        <v>15.934541830000001</v>
      </c>
      <c r="S22" s="24">
        <v>16.807123449999999</v>
      </c>
      <c r="T22" s="32">
        <v>2.5626404410000001</v>
      </c>
      <c r="U22" s="24">
        <v>14.43741775</v>
      </c>
      <c r="V22" s="27">
        <v>55.439358599999998</v>
      </c>
      <c r="Y22" s="25">
        <f t="shared" si="0"/>
        <v>55.439358599999998</v>
      </c>
    </row>
    <row r="25" spans="1:25" x14ac:dyDescent="0.25">
      <c r="D25" s="11" t="s">
        <v>16</v>
      </c>
      <c r="E25" s="23">
        <f>MAX(E5:E22)</f>
        <v>1.1576264919999999</v>
      </c>
      <c r="F25" s="23">
        <f t="shared" ref="F25:V25" si="1">MAX(F5:F22)</f>
        <v>54.127314800000001</v>
      </c>
      <c r="G25" s="23">
        <f t="shared" si="1"/>
        <v>5.3749931740000001</v>
      </c>
      <c r="H25" s="23">
        <f t="shared" si="1"/>
        <v>33.597610590000002</v>
      </c>
      <c r="I25" s="23">
        <f t="shared" si="1"/>
        <v>116.9275458</v>
      </c>
      <c r="J25" s="23">
        <f t="shared" si="1"/>
        <v>10.161374009999999</v>
      </c>
      <c r="K25" s="23">
        <f t="shared" si="1"/>
        <v>1.8067817610000001</v>
      </c>
      <c r="L25" s="23">
        <f t="shared" si="1"/>
        <v>63.44670163</v>
      </c>
      <c r="M25" s="23">
        <f t="shared" si="1"/>
        <v>18.817238740000001</v>
      </c>
      <c r="N25" s="23">
        <f t="shared" si="1"/>
        <v>24.450705719999998</v>
      </c>
      <c r="O25" s="23">
        <f t="shared" si="1"/>
        <v>226.8253507</v>
      </c>
      <c r="P25" s="23">
        <f t="shared" si="1"/>
        <v>43.370161170000003</v>
      </c>
      <c r="Q25" s="23">
        <f t="shared" si="1"/>
        <v>2.1715942529999999</v>
      </c>
      <c r="R25" s="23">
        <f t="shared" si="1"/>
        <v>148.50305349999999</v>
      </c>
      <c r="S25" s="23">
        <f t="shared" si="1"/>
        <v>44.393161020000001</v>
      </c>
      <c r="T25" s="23">
        <f t="shared" si="1"/>
        <v>26.941773359999999</v>
      </c>
      <c r="U25" s="23">
        <f t="shared" si="1"/>
        <v>293.1231009</v>
      </c>
      <c r="V25" s="23">
        <f t="shared" si="1"/>
        <v>55.439358599999998</v>
      </c>
    </row>
  </sheetData>
  <mergeCells count="20"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</mergeCells>
  <conditionalFormatting sqref="E5:E7 E9:E22">
    <cfRule type="cellIs" dxfId="34" priority="1" operator="equal">
      <formula>$E$25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6BBD-937B-4FC1-BF94-A92A8CA29920}">
  <dimension ref="A1:AM200"/>
  <sheetViews>
    <sheetView showGridLines="0" topLeftCell="C140" zoomScale="80" zoomScaleNormal="80" workbookViewId="0">
      <selection activeCell="AE180" sqref="AE180"/>
    </sheetView>
  </sheetViews>
  <sheetFormatPr defaultColWidth="9.140625" defaultRowHeight="15" x14ac:dyDescent="0.25"/>
  <cols>
    <col min="1" max="1" width="29.7109375" style="11" customWidth="1"/>
    <col min="2" max="2" width="31.42578125" style="11" customWidth="1"/>
    <col min="3" max="3" width="9.140625" style="11"/>
    <col min="4" max="4" width="14.7109375" style="11" customWidth="1"/>
    <col min="5" max="35" width="9.140625" style="11"/>
    <col min="36" max="36" width="27.28515625" style="11" customWidth="1"/>
    <col min="37" max="37" width="30.28515625" style="11" customWidth="1"/>
    <col min="38" max="16384" width="9.140625" style="11"/>
  </cols>
  <sheetData>
    <row r="1" spans="1:25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Y1" s="11" t="s">
        <v>17</v>
      </c>
    </row>
    <row r="2" spans="1:25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</row>
    <row r="3" spans="1:25" ht="15.75" x14ac:dyDescent="0.25">
      <c r="B3" s="52" t="s">
        <v>18</v>
      </c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</row>
    <row r="4" spans="1:25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</row>
    <row r="5" spans="1:25" x14ac:dyDescent="0.25">
      <c r="A5" s="76" t="s">
        <v>12</v>
      </c>
      <c r="B5" s="79" t="s">
        <v>1</v>
      </c>
      <c r="C5" s="80" t="s">
        <v>4</v>
      </c>
      <c r="D5" s="19" t="s">
        <v>13</v>
      </c>
      <c r="E5" s="40">
        <v>0.62481255199999997</v>
      </c>
      <c r="F5" s="22">
        <v>1.6889120049999999</v>
      </c>
      <c r="G5" s="29">
        <v>3.5575066000000002E-2</v>
      </c>
      <c r="H5" s="45">
        <v>2.2440844329999998</v>
      </c>
      <c r="I5" s="22">
        <v>0.99977952299999995</v>
      </c>
      <c r="J5" s="22">
        <v>2.389956E-2</v>
      </c>
      <c r="K5" s="22">
        <v>5.4660772000000003E-2</v>
      </c>
      <c r="L5" s="22">
        <v>8.0190841999999998E-2</v>
      </c>
      <c r="M5" s="22">
        <v>1.1619941999999999E-2</v>
      </c>
      <c r="N5" s="22">
        <v>0.30938032500000001</v>
      </c>
      <c r="O5" s="22">
        <v>3.0426697999999999E-2</v>
      </c>
      <c r="P5" s="22">
        <v>1.3845465E-2</v>
      </c>
      <c r="Q5" s="22">
        <v>0.171406324</v>
      </c>
      <c r="R5" s="22">
        <v>0.36442796799999999</v>
      </c>
      <c r="S5" s="22">
        <v>1.7771720000000001E-2</v>
      </c>
      <c r="T5" s="22">
        <v>0.58580895799999999</v>
      </c>
      <c r="U5" s="22">
        <v>0.27333233699999998</v>
      </c>
      <c r="V5" s="22">
        <v>2.1348730999999999E-2</v>
      </c>
      <c r="Y5" s="25">
        <f>MAX(E5:V5)</f>
        <v>2.2440844329999998</v>
      </c>
    </row>
    <row r="6" spans="1:25" x14ac:dyDescent="0.25">
      <c r="A6" s="77"/>
      <c r="B6" s="79"/>
      <c r="C6" s="80"/>
      <c r="D6" s="19" t="s">
        <v>14</v>
      </c>
      <c r="E6" s="30">
        <v>0.88430126399999998</v>
      </c>
      <c r="F6" s="26">
        <v>54.127314800000001</v>
      </c>
      <c r="G6" s="31">
        <v>1.8504768190000001</v>
      </c>
      <c r="H6" s="23">
        <v>3.7125056569999999</v>
      </c>
      <c r="I6" s="23">
        <v>35.167752389999997</v>
      </c>
      <c r="J6" s="23">
        <v>1.931333988</v>
      </c>
      <c r="K6" s="23">
        <v>0.107898733</v>
      </c>
      <c r="L6" s="23">
        <v>2.1481015079999999</v>
      </c>
      <c r="M6" s="23">
        <v>0.13811093099999999</v>
      </c>
      <c r="N6" s="23">
        <v>0.36653887899999998</v>
      </c>
      <c r="O6" s="23">
        <v>1.444602728</v>
      </c>
      <c r="P6" s="23">
        <v>0.33139898499999998</v>
      </c>
      <c r="Q6" s="23">
        <v>0.29942735999999998</v>
      </c>
      <c r="R6" s="23">
        <v>10.84080309</v>
      </c>
      <c r="S6" s="23">
        <v>0.42571435400000002</v>
      </c>
      <c r="T6" s="23">
        <v>0.43341300900000002</v>
      </c>
      <c r="U6" s="23">
        <v>9.6241110639999992</v>
      </c>
      <c r="V6" s="23">
        <v>1.2717615680000001</v>
      </c>
      <c r="Y6" s="25">
        <f t="shared" ref="Y6:Y22" si="0">MAX(E6:V6)</f>
        <v>54.127314800000001</v>
      </c>
    </row>
    <row r="7" spans="1:25" x14ac:dyDescent="0.25">
      <c r="A7" s="77"/>
      <c r="B7" s="79"/>
      <c r="C7" s="80"/>
      <c r="D7" s="19" t="s">
        <v>15</v>
      </c>
      <c r="E7" s="32">
        <v>2.9986723999999999E-2</v>
      </c>
      <c r="F7" s="24">
        <v>3.0315727140000002</v>
      </c>
      <c r="G7" s="33">
        <v>5.3749931740000001</v>
      </c>
      <c r="H7" s="23">
        <v>5.3714154E-2</v>
      </c>
      <c r="I7" s="23">
        <v>1.5966643840000001</v>
      </c>
      <c r="J7" s="23">
        <v>4.8650362640000004</v>
      </c>
      <c r="K7" s="23">
        <v>2.6499360999999999E-2</v>
      </c>
      <c r="L7" s="23">
        <v>0.47141955099999999</v>
      </c>
      <c r="M7" s="23">
        <v>0.13651691699999999</v>
      </c>
      <c r="N7" s="23">
        <v>0.180246717</v>
      </c>
      <c r="O7" s="23">
        <v>0.177982426</v>
      </c>
      <c r="P7" s="23">
        <v>0.24227136499999999</v>
      </c>
      <c r="Q7" s="23">
        <v>2.9426706E-2</v>
      </c>
      <c r="R7" s="23">
        <v>1.3323763390000001</v>
      </c>
      <c r="S7" s="23">
        <v>1.557032304</v>
      </c>
      <c r="T7" s="23">
        <v>0.213299457</v>
      </c>
      <c r="U7" s="23">
        <v>1.3332879529999999</v>
      </c>
      <c r="V7" s="23">
        <v>2.4411439289999999</v>
      </c>
      <c r="Y7" s="25">
        <f t="shared" si="0"/>
        <v>5.3749931740000001</v>
      </c>
    </row>
    <row r="8" spans="1:25" x14ac:dyDescent="0.25">
      <c r="A8" s="77"/>
      <c r="B8" s="79"/>
      <c r="C8" s="80" t="s">
        <v>5</v>
      </c>
      <c r="D8" s="21" t="s">
        <v>11</v>
      </c>
      <c r="E8" s="28">
        <v>1.1576264919999999</v>
      </c>
      <c r="F8" s="23">
        <v>4.3259494040000002</v>
      </c>
      <c r="G8" s="23">
        <v>5.9455828000000002E-2</v>
      </c>
      <c r="H8" s="34">
        <v>33.597610590000002</v>
      </c>
      <c r="I8" s="22">
        <v>17.403603180000001</v>
      </c>
      <c r="J8" s="29">
        <v>4.8099866999999998E-2</v>
      </c>
      <c r="K8" s="23">
        <v>6.1150040000000003E-2</v>
      </c>
      <c r="L8" s="23">
        <v>1.0790948549999999</v>
      </c>
      <c r="M8" s="23">
        <v>7.7988011999999995E-2</v>
      </c>
      <c r="N8" s="23">
        <v>0.41477594400000001</v>
      </c>
      <c r="O8" s="23">
        <v>1.0150914069999999</v>
      </c>
      <c r="P8" s="23">
        <v>9.3245126999999997E-2</v>
      </c>
      <c r="Q8" s="23">
        <v>0.33602373299999999</v>
      </c>
      <c r="R8" s="23">
        <v>0.92560755900000002</v>
      </c>
      <c r="S8" s="23">
        <v>0.119482637</v>
      </c>
      <c r="T8" s="23">
        <v>7.5408119740000004</v>
      </c>
      <c r="U8" s="23">
        <v>5.498209492</v>
      </c>
      <c r="V8" s="23">
        <v>0.14331861900000001</v>
      </c>
      <c r="Y8" s="25">
        <f t="shared" si="0"/>
        <v>33.597610590000002</v>
      </c>
    </row>
    <row r="9" spans="1:25" x14ac:dyDescent="0.25">
      <c r="A9" s="77"/>
      <c r="B9" s="79"/>
      <c r="C9" s="80"/>
      <c r="D9" s="21" t="s">
        <v>6</v>
      </c>
      <c r="E9" s="23">
        <v>0.429296966</v>
      </c>
      <c r="F9" s="23">
        <v>28.29677191</v>
      </c>
      <c r="G9" s="23">
        <v>0.73007783599999998</v>
      </c>
      <c r="H9" s="30">
        <v>6.2381378300000003</v>
      </c>
      <c r="I9" s="26">
        <v>116.9275458</v>
      </c>
      <c r="J9" s="31">
        <v>4.049201965</v>
      </c>
      <c r="K9" s="23">
        <v>9.4130908999999999E-2</v>
      </c>
      <c r="L9" s="23">
        <v>0.834173418</v>
      </c>
      <c r="M9" s="23">
        <v>5.9988614000000003E-2</v>
      </c>
      <c r="N9" s="23">
        <v>0.31765765200000001</v>
      </c>
      <c r="O9" s="23">
        <v>6.7086931700000001</v>
      </c>
      <c r="P9" s="23">
        <v>0.14340008800000001</v>
      </c>
      <c r="Q9" s="23">
        <v>7.9055994000000004E-2</v>
      </c>
      <c r="R9" s="23">
        <v>8.9522220539999999</v>
      </c>
      <c r="S9" s="23">
        <v>0.634624725</v>
      </c>
      <c r="T9" s="23">
        <v>2.6253340770000002</v>
      </c>
      <c r="U9" s="23">
        <v>40.852237080000002</v>
      </c>
      <c r="V9" s="23">
        <v>3.7352708020000001</v>
      </c>
      <c r="Y9" s="25">
        <f t="shared" si="0"/>
        <v>116.9275458</v>
      </c>
    </row>
    <row r="10" spans="1:25" x14ac:dyDescent="0.25">
      <c r="A10" s="77"/>
      <c r="B10" s="79"/>
      <c r="C10" s="80"/>
      <c r="D10" s="21" t="s">
        <v>7</v>
      </c>
      <c r="E10" s="23">
        <v>4.3955510000000001E-3</v>
      </c>
      <c r="F10" s="23">
        <v>1.9542509779999999</v>
      </c>
      <c r="G10" s="23">
        <v>3.4642158940000001</v>
      </c>
      <c r="H10" s="32">
        <v>0.18786340800000001</v>
      </c>
      <c r="I10" s="24">
        <v>3.8863381829999999</v>
      </c>
      <c r="J10" s="33">
        <v>10.161374009999999</v>
      </c>
      <c r="K10" s="23">
        <v>3.1080555999999999E-2</v>
      </c>
      <c r="L10" s="23">
        <v>0.13736209999999999</v>
      </c>
      <c r="M10" s="23">
        <v>0.23826318499999999</v>
      </c>
      <c r="N10" s="23">
        <v>0.211271178</v>
      </c>
      <c r="O10" s="23">
        <v>0.42063528100000003</v>
      </c>
      <c r="P10" s="23">
        <v>1.186731746</v>
      </c>
      <c r="Q10" s="23">
        <v>1.7244457000000001E-2</v>
      </c>
      <c r="R10" s="23">
        <v>2.5049342710000002</v>
      </c>
      <c r="S10" s="23">
        <v>1.7037326509999999</v>
      </c>
      <c r="T10" s="23">
        <v>0.12533614800000001</v>
      </c>
      <c r="U10" s="23">
        <v>2.03599394</v>
      </c>
      <c r="V10" s="23">
        <v>7.097245236</v>
      </c>
      <c r="Y10" s="25">
        <f t="shared" si="0"/>
        <v>10.161374009999999</v>
      </c>
    </row>
    <row r="11" spans="1:25" x14ac:dyDescent="0.25">
      <c r="A11" s="77"/>
      <c r="B11" s="79" t="s">
        <v>2</v>
      </c>
      <c r="C11" s="80" t="s">
        <v>4</v>
      </c>
      <c r="D11" s="21" t="s">
        <v>11</v>
      </c>
      <c r="E11" s="23">
        <v>7.0962080999999996E-2</v>
      </c>
      <c r="F11" s="23">
        <v>0.46981498599999999</v>
      </c>
      <c r="G11" s="23">
        <v>1.5281404E-2</v>
      </c>
      <c r="H11" s="23">
        <v>0.25457442400000002</v>
      </c>
      <c r="I11" s="23">
        <v>0.22889737099999999</v>
      </c>
      <c r="J11" s="23">
        <v>3.2940298E-2</v>
      </c>
      <c r="K11" s="40">
        <v>1.0049873650000001</v>
      </c>
      <c r="L11" s="22">
        <v>2.216510494</v>
      </c>
      <c r="M11" s="29">
        <v>0.24116460200000001</v>
      </c>
      <c r="N11" s="46">
        <v>4.2700435160000003</v>
      </c>
      <c r="O11" s="23">
        <v>3.1574678999999999</v>
      </c>
      <c r="P11" s="23">
        <v>0.47889541800000002</v>
      </c>
      <c r="Q11" s="23">
        <v>6.9535930999999995E-2</v>
      </c>
      <c r="R11" s="23">
        <v>0.95359931499999995</v>
      </c>
      <c r="S11" s="23">
        <v>0.122630948</v>
      </c>
      <c r="T11" s="23">
        <v>0.50423113600000002</v>
      </c>
      <c r="U11" s="23">
        <v>0.31560970500000002</v>
      </c>
      <c r="V11" s="23">
        <v>0.14698472000000001</v>
      </c>
      <c r="Y11" s="25">
        <f t="shared" si="0"/>
        <v>4.2700435160000003</v>
      </c>
    </row>
    <row r="12" spans="1:25" x14ac:dyDescent="0.25">
      <c r="A12" s="77"/>
      <c r="B12" s="79"/>
      <c r="C12" s="80"/>
      <c r="D12" s="21" t="s">
        <v>6</v>
      </c>
      <c r="E12" s="23">
        <v>2.8663131000000001E-2</v>
      </c>
      <c r="F12" s="23">
        <v>3.8060266829999998</v>
      </c>
      <c r="G12" s="23">
        <v>0.29606660200000001</v>
      </c>
      <c r="H12" s="23">
        <v>0.82612058499999996</v>
      </c>
      <c r="I12" s="23">
        <v>2.366811142</v>
      </c>
      <c r="J12" s="23">
        <v>0.16023849500000001</v>
      </c>
      <c r="K12" s="30">
        <v>1.21370355</v>
      </c>
      <c r="L12" s="41">
        <v>55.315573299999997</v>
      </c>
      <c r="M12" s="31">
        <v>5.1798072150000003</v>
      </c>
      <c r="N12" s="23">
        <v>4.1369186469999999</v>
      </c>
      <c r="O12" s="46">
        <v>59.509246930000003</v>
      </c>
      <c r="P12" s="23">
        <v>7.3958349559999998</v>
      </c>
      <c r="Q12" s="23">
        <v>0.11233655400000001</v>
      </c>
      <c r="R12" s="23">
        <v>7.0534003260000002</v>
      </c>
      <c r="S12" s="23">
        <v>0.79268725200000001</v>
      </c>
      <c r="T12" s="23">
        <v>0.81788047699999999</v>
      </c>
      <c r="U12" s="23">
        <v>4.0581988200000003</v>
      </c>
      <c r="V12" s="23">
        <v>0.47711173000000001</v>
      </c>
      <c r="Y12" s="25">
        <f t="shared" si="0"/>
        <v>59.509246930000003</v>
      </c>
    </row>
    <row r="13" spans="1:25" x14ac:dyDescent="0.25">
      <c r="A13" s="77"/>
      <c r="B13" s="79"/>
      <c r="C13" s="80"/>
      <c r="D13" s="21" t="s">
        <v>7</v>
      </c>
      <c r="E13" s="23">
        <v>1.8886085E-2</v>
      </c>
      <c r="F13" s="23">
        <v>0.33509170799999999</v>
      </c>
      <c r="G13" s="23">
        <v>0.39155282400000002</v>
      </c>
      <c r="H13" s="23">
        <v>0.13473972000000001</v>
      </c>
      <c r="I13" s="23">
        <v>0.33371927400000001</v>
      </c>
      <c r="J13" s="23">
        <v>0.56205881899999999</v>
      </c>
      <c r="K13" s="32">
        <v>0.40078387999999998</v>
      </c>
      <c r="L13" s="24">
        <v>4.7192069950000004</v>
      </c>
      <c r="M13" s="33">
        <v>18.817238740000001</v>
      </c>
      <c r="N13" s="23">
        <v>0.90472275599999996</v>
      </c>
      <c r="O13" s="23">
        <v>3.1264438779999999</v>
      </c>
      <c r="P13" s="23">
        <v>16.154764369999999</v>
      </c>
      <c r="Q13" s="23">
        <v>7.4001877999999993E-2</v>
      </c>
      <c r="R13" s="23">
        <v>0.66991274499999998</v>
      </c>
      <c r="S13" s="23">
        <v>1.046205506</v>
      </c>
      <c r="T13" s="23">
        <v>0.53507814300000001</v>
      </c>
      <c r="U13" s="23">
        <v>0.33535709200000002</v>
      </c>
      <c r="V13" s="23">
        <v>0.62879797500000001</v>
      </c>
      <c r="Y13" s="25">
        <f t="shared" si="0"/>
        <v>18.817238740000001</v>
      </c>
    </row>
    <row r="14" spans="1:25" x14ac:dyDescent="0.25">
      <c r="A14" s="77"/>
      <c r="B14" s="79"/>
      <c r="C14" s="80" t="s">
        <v>5</v>
      </c>
      <c r="D14" s="21" t="s">
        <v>11</v>
      </c>
      <c r="E14" s="23">
        <v>0.19091519800000001</v>
      </c>
      <c r="F14" s="23">
        <v>0.56371948199999999</v>
      </c>
      <c r="G14" s="23">
        <v>0.109783644</v>
      </c>
      <c r="H14" s="23">
        <v>3.1714742739999999</v>
      </c>
      <c r="I14" s="23">
        <v>1.91688433</v>
      </c>
      <c r="J14" s="23">
        <v>0.11782094899999999</v>
      </c>
      <c r="K14" s="28">
        <v>1.8067817610000001</v>
      </c>
      <c r="L14" s="23">
        <v>7.988084465</v>
      </c>
      <c r="M14" s="23">
        <v>0.57530640300000002</v>
      </c>
      <c r="N14" s="34">
        <v>24.450705719999998</v>
      </c>
      <c r="O14" s="22">
        <v>16.54063176</v>
      </c>
      <c r="P14" s="29">
        <v>0.68621405599999996</v>
      </c>
      <c r="Q14" s="23">
        <v>0.24926361699999999</v>
      </c>
      <c r="R14" s="23">
        <v>2.2451951569999999</v>
      </c>
      <c r="S14" s="23">
        <v>0.879262459</v>
      </c>
      <c r="T14" s="23">
        <v>3.6115805910000001</v>
      </c>
      <c r="U14" s="23">
        <v>1.1293846599999999</v>
      </c>
      <c r="V14" s="23">
        <v>1.05914814</v>
      </c>
      <c r="Y14" s="25">
        <f t="shared" si="0"/>
        <v>24.450705719999998</v>
      </c>
    </row>
    <row r="15" spans="1:25" x14ac:dyDescent="0.25">
      <c r="A15" s="77"/>
      <c r="B15" s="79"/>
      <c r="C15" s="80"/>
      <c r="D15" s="21" t="s">
        <v>6</v>
      </c>
      <c r="E15" s="23">
        <v>4.8116873999999997E-2</v>
      </c>
      <c r="F15" s="23">
        <v>5.1279328499999997</v>
      </c>
      <c r="G15" s="23">
        <v>8.3121350999999996E-2</v>
      </c>
      <c r="H15" s="23">
        <v>1.4052136630000001</v>
      </c>
      <c r="I15" s="23">
        <v>13.010768130000001</v>
      </c>
      <c r="J15" s="23">
        <v>0.71874806800000002</v>
      </c>
      <c r="K15" s="23">
        <v>1.710375816</v>
      </c>
      <c r="L15" s="28">
        <v>63.44670163</v>
      </c>
      <c r="M15" s="23">
        <v>2.6143489099999999</v>
      </c>
      <c r="N15" s="30">
        <v>4.6746184309999999</v>
      </c>
      <c r="O15" s="26">
        <v>226.8253507</v>
      </c>
      <c r="P15" s="31">
        <v>12.52390228</v>
      </c>
      <c r="Q15" s="23">
        <v>0.188932723</v>
      </c>
      <c r="R15" s="23">
        <v>5.2563075340000003</v>
      </c>
      <c r="S15" s="23">
        <v>0.66504282400000003</v>
      </c>
      <c r="T15" s="23">
        <v>1.368064929</v>
      </c>
      <c r="U15" s="23">
        <v>25.701949209999999</v>
      </c>
      <c r="V15" s="23">
        <v>1.6134653059999999</v>
      </c>
      <c r="Y15" s="25">
        <f t="shared" si="0"/>
        <v>226.8253507</v>
      </c>
    </row>
    <row r="16" spans="1:25" x14ac:dyDescent="0.25">
      <c r="A16" s="77"/>
      <c r="B16" s="79"/>
      <c r="C16" s="80"/>
      <c r="D16" s="21" t="s">
        <v>7</v>
      </c>
      <c r="E16" s="23">
        <v>3.6295792E-2</v>
      </c>
      <c r="F16" s="23">
        <v>1.9262452249999999</v>
      </c>
      <c r="G16" s="23">
        <v>0.50371898299999995</v>
      </c>
      <c r="H16" s="23">
        <v>0.26025962899999999</v>
      </c>
      <c r="I16" s="23">
        <v>0.64646191099999994</v>
      </c>
      <c r="J16" s="23">
        <v>1.5586822650000001</v>
      </c>
      <c r="K16" s="23">
        <v>0.25696604299999998</v>
      </c>
      <c r="L16" s="23">
        <v>11.413919979999999</v>
      </c>
      <c r="M16" s="23">
        <v>13.572141970000001</v>
      </c>
      <c r="N16" s="32">
        <v>1.7506344810000001</v>
      </c>
      <c r="O16" s="24">
        <v>22.504298850000001</v>
      </c>
      <c r="P16" s="33">
        <v>43.370161170000003</v>
      </c>
      <c r="Q16" s="23">
        <v>0.14278380399999999</v>
      </c>
      <c r="R16" s="23">
        <v>1.2883232069999999</v>
      </c>
      <c r="S16" s="23">
        <v>1.015833115</v>
      </c>
      <c r="T16" s="23">
        <v>1.0305781620000001</v>
      </c>
      <c r="U16" s="23">
        <v>1.3050026669999999</v>
      </c>
      <c r="V16" s="23">
        <v>4.2354755089999996</v>
      </c>
      <c r="Y16" s="25">
        <f t="shared" si="0"/>
        <v>43.370161170000003</v>
      </c>
    </row>
    <row r="17" spans="1:39" x14ac:dyDescent="0.25">
      <c r="A17" s="77"/>
      <c r="B17" s="79" t="s">
        <v>3</v>
      </c>
      <c r="C17" s="80" t="s">
        <v>4</v>
      </c>
      <c r="D17" s="21" t="s">
        <v>11</v>
      </c>
      <c r="E17" s="23">
        <v>0.15560755900000001</v>
      </c>
      <c r="F17" s="23">
        <v>0.55144163199999996</v>
      </c>
      <c r="G17" s="23">
        <v>8.9564299999999996E-3</v>
      </c>
      <c r="H17" s="23">
        <v>0.74269249500000001</v>
      </c>
      <c r="I17" s="23">
        <v>0.29265619500000001</v>
      </c>
      <c r="J17" s="23">
        <v>9.6229450000000008E-3</v>
      </c>
      <c r="K17" s="23">
        <v>7.3659905999999997E-2</v>
      </c>
      <c r="L17" s="23">
        <v>0.32515724800000001</v>
      </c>
      <c r="M17" s="23">
        <v>4.7041265999999998E-2</v>
      </c>
      <c r="N17" s="23">
        <v>0.50084140600000004</v>
      </c>
      <c r="O17" s="23">
        <v>0.12329364800000001</v>
      </c>
      <c r="P17" s="23">
        <v>5.6127631999999997E-2</v>
      </c>
      <c r="Q17" s="40">
        <v>1.364026959</v>
      </c>
      <c r="R17" s="22">
        <v>3.860235254</v>
      </c>
      <c r="S17" s="29">
        <v>0.359585559</v>
      </c>
      <c r="T17" s="46">
        <v>4.1319004149999996</v>
      </c>
      <c r="U17" s="23">
        <v>1.481907954</v>
      </c>
      <c r="V17" s="23">
        <v>0.17359089999999999</v>
      </c>
      <c r="Y17" s="25">
        <f t="shared" si="0"/>
        <v>4.1319004149999996</v>
      </c>
    </row>
    <row r="18" spans="1:39" x14ac:dyDescent="0.25">
      <c r="A18" s="77"/>
      <c r="B18" s="79"/>
      <c r="C18" s="80"/>
      <c r="D18" s="21" t="s">
        <v>6</v>
      </c>
      <c r="E18" s="23">
        <v>0.13054933199999999</v>
      </c>
      <c r="F18" s="23">
        <v>12.09705222</v>
      </c>
      <c r="G18" s="23">
        <v>0.280392158</v>
      </c>
      <c r="H18" s="23">
        <v>0.46723862399999999</v>
      </c>
      <c r="I18" s="23">
        <v>9.3366127510000005</v>
      </c>
      <c r="J18" s="23">
        <v>0.35929286599999999</v>
      </c>
      <c r="K18" s="23">
        <v>0.23131492400000001</v>
      </c>
      <c r="L18" s="23">
        <v>2.04004026</v>
      </c>
      <c r="M18" s="23">
        <v>0.29566025800000001</v>
      </c>
      <c r="N18" s="23">
        <v>1.569571042</v>
      </c>
      <c r="O18" s="23">
        <v>3.1169597420000001</v>
      </c>
      <c r="P18" s="23">
        <v>0.35213897199999999</v>
      </c>
      <c r="Q18" s="35">
        <v>2.1715942529999999</v>
      </c>
      <c r="R18" s="26">
        <v>148.50305349999999</v>
      </c>
      <c r="S18" s="31">
        <v>18.898145929999998</v>
      </c>
      <c r="T18" s="23">
        <v>10.150962140000001</v>
      </c>
      <c r="U18" s="23">
        <v>58.910236429999998</v>
      </c>
      <c r="V18" s="23">
        <v>9.7672518729999993</v>
      </c>
      <c r="Y18" s="25">
        <f t="shared" si="0"/>
        <v>148.50305349999999</v>
      </c>
    </row>
    <row r="19" spans="1:39" x14ac:dyDescent="0.25">
      <c r="A19" s="77"/>
      <c r="B19" s="79"/>
      <c r="C19" s="80"/>
      <c r="D19" s="21" t="s">
        <v>7</v>
      </c>
      <c r="E19" s="23">
        <v>3.3160948000000003E-2</v>
      </c>
      <c r="F19" s="23">
        <v>1.1920628419999999</v>
      </c>
      <c r="G19" s="23">
        <v>0.92335421100000004</v>
      </c>
      <c r="H19" s="23">
        <v>0.237980265</v>
      </c>
      <c r="I19" s="23">
        <v>0.72461527199999998</v>
      </c>
      <c r="J19" s="23">
        <v>1.23919976</v>
      </c>
      <c r="K19" s="23">
        <v>0.23465851400000001</v>
      </c>
      <c r="L19" s="23">
        <v>1.037292654</v>
      </c>
      <c r="M19" s="23">
        <v>1.2082576140000001</v>
      </c>
      <c r="N19" s="23">
        <v>1.6001545530000001</v>
      </c>
      <c r="O19" s="23">
        <v>0.78762139600000003</v>
      </c>
      <c r="P19" s="23">
        <v>1.0819732230000001</v>
      </c>
      <c r="Q19" s="32">
        <v>0.39245900700000003</v>
      </c>
      <c r="R19" s="24">
        <v>18.98304834</v>
      </c>
      <c r="S19" s="33">
        <v>44.393161020000001</v>
      </c>
      <c r="T19" s="23">
        <v>1.9041369909999999</v>
      </c>
      <c r="U19" s="23">
        <v>5.9493580850000001</v>
      </c>
      <c r="V19" s="23">
        <v>18.900157220000001</v>
      </c>
      <c r="Y19" s="25">
        <f t="shared" si="0"/>
        <v>44.393161020000001</v>
      </c>
    </row>
    <row r="20" spans="1:39" x14ac:dyDescent="0.25">
      <c r="A20" s="77"/>
      <c r="B20" s="79"/>
      <c r="C20" s="80" t="s">
        <v>5</v>
      </c>
      <c r="D20" s="21" t="s">
        <v>11</v>
      </c>
      <c r="E20" s="23">
        <v>0.32713009599999998</v>
      </c>
      <c r="F20" s="23">
        <v>0.29202813900000002</v>
      </c>
      <c r="G20" s="23">
        <v>5.6855304000000002E-2</v>
      </c>
      <c r="H20" s="23">
        <v>5.3756201990000001</v>
      </c>
      <c r="I20" s="23">
        <v>3.264825578</v>
      </c>
      <c r="J20" s="23">
        <v>6.1265633E-2</v>
      </c>
      <c r="K20" s="23">
        <v>0.23308011200000001</v>
      </c>
      <c r="L20" s="23">
        <v>1.0318223280000001</v>
      </c>
      <c r="M20" s="23">
        <v>0.29931872799999998</v>
      </c>
      <c r="N20" s="23">
        <v>1.5864949779999999</v>
      </c>
      <c r="O20" s="23">
        <v>1.557643117</v>
      </c>
      <c r="P20" s="23">
        <v>0.35574931300000001</v>
      </c>
      <c r="Q20" s="23">
        <v>1.024596566</v>
      </c>
      <c r="R20" s="23">
        <v>6.9179494129999997</v>
      </c>
      <c r="S20" s="23">
        <v>1.3624088139999999</v>
      </c>
      <c r="T20" s="34">
        <v>26.941773359999999</v>
      </c>
      <c r="U20" s="22">
        <v>17.37609363</v>
      </c>
      <c r="V20" s="22">
        <v>1.093933544</v>
      </c>
      <c r="Y20" s="25">
        <f t="shared" si="0"/>
        <v>26.941773359999999</v>
      </c>
    </row>
    <row r="21" spans="1:39" x14ac:dyDescent="0.25">
      <c r="A21" s="77"/>
      <c r="B21" s="79"/>
      <c r="C21" s="80"/>
      <c r="D21" s="21" t="s">
        <v>6</v>
      </c>
      <c r="E21" s="23">
        <v>0.16357005499999999</v>
      </c>
      <c r="F21" s="23">
        <v>6.5954390180000004</v>
      </c>
      <c r="G21" s="23">
        <v>0.192207512</v>
      </c>
      <c r="H21" s="23">
        <v>1.1657437509999999</v>
      </c>
      <c r="I21" s="23">
        <v>28.212704429999999</v>
      </c>
      <c r="J21" s="23">
        <v>1.4781424240000001</v>
      </c>
      <c r="K21" s="23">
        <v>0.195272948</v>
      </c>
      <c r="L21" s="23">
        <v>3.4844570130000001</v>
      </c>
      <c r="M21" s="23">
        <v>0.25015441300000002</v>
      </c>
      <c r="N21" s="23">
        <v>1.3306311639999999</v>
      </c>
      <c r="O21" s="23">
        <v>6.5322822189999998</v>
      </c>
      <c r="P21" s="23">
        <v>0.59308306700000002</v>
      </c>
      <c r="Q21" s="23">
        <v>1.0805951549999999</v>
      </c>
      <c r="R21" s="23">
        <v>62.382712679999997</v>
      </c>
      <c r="S21" s="23">
        <v>4.5489028669999998</v>
      </c>
      <c r="T21" s="30">
        <v>16.384288890000001</v>
      </c>
      <c r="U21" s="26">
        <v>293.1231009</v>
      </c>
      <c r="V21" s="23">
        <v>14.629945019999999</v>
      </c>
      <c r="Y21" s="25">
        <f t="shared" si="0"/>
        <v>293.1231009</v>
      </c>
    </row>
    <row r="22" spans="1:39" x14ac:dyDescent="0.25">
      <c r="A22" s="78"/>
      <c r="B22" s="79"/>
      <c r="C22" s="80"/>
      <c r="D22" s="21" t="s">
        <v>7</v>
      </c>
      <c r="E22" s="24">
        <v>4.4817343000000003E-2</v>
      </c>
      <c r="F22" s="24">
        <v>0.79776576799999999</v>
      </c>
      <c r="G22" s="24">
        <v>0.92990896700000003</v>
      </c>
      <c r="H22" s="24">
        <v>0.32167416300000001</v>
      </c>
      <c r="I22" s="24">
        <v>2.3317240780000001</v>
      </c>
      <c r="J22" s="24">
        <v>3.5865437500000001</v>
      </c>
      <c r="K22" s="24">
        <v>0.31798094900000001</v>
      </c>
      <c r="L22" s="24">
        <v>1.402728784</v>
      </c>
      <c r="M22" s="24">
        <v>0.81632108699999995</v>
      </c>
      <c r="N22" s="24">
        <v>2.163622245</v>
      </c>
      <c r="O22" s="24">
        <v>2.1319538069999999</v>
      </c>
      <c r="P22" s="24">
        <v>2.8942604689999998</v>
      </c>
      <c r="Q22" s="24">
        <v>0.176202887</v>
      </c>
      <c r="R22" s="24">
        <v>15.934541830000001</v>
      </c>
      <c r="S22" s="24">
        <v>16.807123449999999</v>
      </c>
      <c r="T22" s="32">
        <v>2.5626404410000001</v>
      </c>
      <c r="U22" s="24">
        <v>14.43741775</v>
      </c>
      <c r="V22" s="27">
        <v>55.439358599999998</v>
      </c>
      <c r="Y22" s="25">
        <f t="shared" si="0"/>
        <v>55.439358599999998</v>
      </c>
    </row>
    <row r="25" spans="1:39" x14ac:dyDescent="0.25">
      <c r="D25" s="11" t="s">
        <v>16</v>
      </c>
      <c r="E25" s="23">
        <f>MAX(E5:E22)</f>
        <v>1.1576264919999999</v>
      </c>
      <c r="F25" s="23">
        <f t="shared" ref="F25:V25" si="1">MAX(F5:F22)</f>
        <v>54.127314800000001</v>
      </c>
      <c r="G25" s="23">
        <f t="shared" si="1"/>
        <v>5.3749931740000001</v>
      </c>
      <c r="H25" s="23">
        <f t="shared" si="1"/>
        <v>33.597610590000002</v>
      </c>
      <c r="I25" s="23">
        <f t="shared" si="1"/>
        <v>116.9275458</v>
      </c>
      <c r="J25" s="23">
        <f t="shared" si="1"/>
        <v>10.161374009999999</v>
      </c>
      <c r="K25" s="23">
        <f t="shared" si="1"/>
        <v>1.8067817610000001</v>
      </c>
      <c r="L25" s="23">
        <f t="shared" si="1"/>
        <v>63.44670163</v>
      </c>
      <c r="M25" s="23">
        <f t="shared" si="1"/>
        <v>18.817238740000001</v>
      </c>
      <c r="N25" s="23">
        <f t="shared" si="1"/>
        <v>24.450705719999998</v>
      </c>
      <c r="O25" s="23">
        <f t="shared" si="1"/>
        <v>226.8253507</v>
      </c>
      <c r="P25" s="23">
        <f t="shared" si="1"/>
        <v>43.370161170000003</v>
      </c>
      <c r="Q25" s="23">
        <f t="shared" si="1"/>
        <v>2.1715942529999999</v>
      </c>
      <c r="R25" s="23">
        <f t="shared" si="1"/>
        <v>148.50305349999999</v>
      </c>
      <c r="S25" s="23">
        <f t="shared" si="1"/>
        <v>44.393161020000001</v>
      </c>
      <c r="T25" s="23">
        <f t="shared" si="1"/>
        <v>26.941773359999999</v>
      </c>
      <c r="U25" s="23">
        <f t="shared" si="1"/>
        <v>293.1231009</v>
      </c>
      <c r="V25" s="23">
        <f t="shared" si="1"/>
        <v>55.439358599999998</v>
      </c>
    </row>
    <row r="27" spans="1:39" x14ac:dyDescent="0.25">
      <c r="AJ27" s="11" t="s">
        <v>12</v>
      </c>
      <c r="AK27" s="11" t="s">
        <v>0</v>
      </c>
      <c r="AL27" s="11">
        <v>2019</v>
      </c>
      <c r="AM27" s="11">
        <v>2010</v>
      </c>
    </row>
    <row r="28" spans="1:39" x14ac:dyDescent="0.25">
      <c r="A28" s="11" t="s">
        <v>12</v>
      </c>
      <c r="B28" s="11" t="s">
        <v>0</v>
      </c>
      <c r="C28" s="11">
        <v>2019</v>
      </c>
      <c r="D28" s="11">
        <v>2010</v>
      </c>
      <c r="AJ28" s="11" t="s">
        <v>45</v>
      </c>
      <c r="AK28" s="11" t="s">
        <v>28</v>
      </c>
      <c r="AL28" s="23">
        <v>1.1576264919999999</v>
      </c>
      <c r="AM28" s="23">
        <v>0.71991081357057196</v>
      </c>
    </row>
    <row r="29" spans="1:39" x14ac:dyDescent="0.25">
      <c r="A29" s="11" t="s">
        <v>43</v>
      </c>
      <c r="B29" s="11" t="s">
        <v>28</v>
      </c>
      <c r="C29" s="23">
        <v>0.62481255199999997</v>
      </c>
      <c r="D29" s="23">
        <v>0.81630731346458896</v>
      </c>
      <c r="AK29" s="11" t="s">
        <v>26</v>
      </c>
      <c r="AL29" s="23">
        <v>4.3259494040000002</v>
      </c>
      <c r="AM29" s="23">
        <v>41.237561518790102</v>
      </c>
    </row>
    <row r="30" spans="1:39" x14ac:dyDescent="0.25">
      <c r="B30" s="11" t="s">
        <v>26</v>
      </c>
      <c r="C30" s="23">
        <v>1.6889120049999999</v>
      </c>
      <c r="D30" s="23">
        <v>2.5384888615196401</v>
      </c>
      <c r="AK30" s="11" t="s">
        <v>27</v>
      </c>
      <c r="AL30" s="23">
        <v>5.9455828000000002E-2</v>
      </c>
      <c r="AM30" s="23">
        <v>5.3047932679876597</v>
      </c>
    </row>
    <row r="31" spans="1:39" x14ac:dyDescent="0.25">
      <c r="B31" s="11" t="s">
        <v>27</v>
      </c>
      <c r="C31" s="23">
        <v>3.5575066000000002E-2</v>
      </c>
      <c r="D31" s="23">
        <v>0.66162217164223103</v>
      </c>
      <c r="AK31" s="11" t="s">
        <v>29</v>
      </c>
      <c r="AL31" s="23">
        <v>33.597610590000002</v>
      </c>
      <c r="AM31" s="23">
        <v>252.05507393332701</v>
      </c>
    </row>
    <row r="32" spans="1:39" x14ac:dyDescent="0.25">
      <c r="B32" s="11" t="s">
        <v>29</v>
      </c>
      <c r="C32" s="23">
        <v>2.2440844329999998</v>
      </c>
      <c r="D32" s="23">
        <v>1.71595655505471</v>
      </c>
      <c r="AK32" s="11" t="s">
        <v>30</v>
      </c>
      <c r="AL32" s="23">
        <v>17.403603180000001</v>
      </c>
      <c r="AM32" s="23">
        <v>14.413113095642</v>
      </c>
    </row>
    <row r="33" spans="1:39" x14ac:dyDescent="0.25">
      <c r="B33" s="11" t="s">
        <v>30</v>
      </c>
      <c r="C33" s="23">
        <v>0.99977952299999995</v>
      </c>
      <c r="D33" s="23">
        <v>2.6653997894658301E-2</v>
      </c>
      <c r="AK33" s="11" t="s">
        <v>31</v>
      </c>
      <c r="AL33" s="23">
        <v>4.8099866999999998E-2</v>
      </c>
      <c r="AM33" s="23">
        <v>2.2506666048616002E-2</v>
      </c>
    </row>
    <row r="34" spans="1:39" x14ac:dyDescent="0.25">
      <c r="B34" s="11" t="s">
        <v>31</v>
      </c>
      <c r="C34" s="23">
        <v>2.389956E-2</v>
      </c>
      <c r="D34" s="23">
        <v>2.8905730228832999E-3</v>
      </c>
      <c r="AK34" s="11" t="s">
        <v>32</v>
      </c>
      <c r="AL34" s="23">
        <v>6.1150040000000003E-2</v>
      </c>
      <c r="AM34" s="23">
        <v>5.09663136058272E-2</v>
      </c>
    </row>
    <row r="35" spans="1:39" x14ac:dyDescent="0.25">
      <c r="B35" s="11" t="s">
        <v>32</v>
      </c>
      <c r="C35" s="23">
        <v>5.4660772000000003E-2</v>
      </c>
      <c r="D35" s="23">
        <v>1.3223775192445299E-2</v>
      </c>
      <c r="AK35" s="11" t="s">
        <v>33</v>
      </c>
      <c r="AL35" s="23">
        <v>1.0790948549999999</v>
      </c>
      <c r="AM35" s="23">
        <v>0.830147191361293</v>
      </c>
    </row>
    <row r="36" spans="1:39" x14ac:dyDescent="0.25">
      <c r="B36" s="11" t="s">
        <v>33</v>
      </c>
      <c r="C36" s="23">
        <v>8.0190841999999998E-2</v>
      </c>
      <c r="D36" s="23">
        <v>3.5148056247998501E-2</v>
      </c>
      <c r="AK36" s="11" t="s">
        <v>34</v>
      </c>
      <c r="AL36" s="23">
        <v>7.7988011999999995E-2</v>
      </c>
      <c r="AM36" s="23">
        <v>0.169657683590413</v>
      </c>
    </row>
    <row r="37" spans="1:39" x14ac:dyDescent="0.25">
      <c r="B37" s="11" t="s">
        <v>34</v>
      </c>
      <c r="C37" s="23">
        <v>1.1619941999999999E-2</v>
      </c>
      <c r="D37" s="23">
        <v>1.07066652061154E-2</v>
      </c>
      <c r="AK37" s="11" t="s">
        <v>35</v>
      </c>
      <c r="AL37" s="23">
        <v>0.41477594400000001</v>
      </c>
      <c r="AM37" s="23">
        <v>8.8352384661551202</v>
      </c>
    </row>
    <row r="38" spans="1:39" x14ac:dyDescent="0.25">
      <c r="B38" s="11" t="s">
        <v>35</v>
      </c>
      <c r="C38" s="23">
        <v>0.30938032500000001</v>
      </c>
      <c r="D38" s="23">
        <v>0.25114926492380002</v>
      </c>
      <c r="AK38" s="11" t="s">
        <v>36</v>
      </c>
      <c r="AL38" s="23">
        <v>1.0150914069999999</v>
      </c>
      <c r="AM38" s="23">
        <v>0.48017114108859599</v>
      </c>
    </row>
    <row r="39" spans="1:39" x14ac:dyDescent="0.25">
      <c r="B39" s="11" t="s">
        <v>36</v>
      </c>
      <c r="C39" s="23">
        <v>3.0426697999999999E-2</v>
      </c>
      <c r="D39" s="23">
        <v>3.0183928796152101E-2</v>
      </c>
      <c r="AK39" s="11" t="s">
        <v>37</v>
      </c>
      <c r="AL39" s="23">
        <v>9.3245126999999997E-2</v>
      </c>
      <c r="AM39" s="23">
        <v>0.124047937089243</v>
      </c>
    </row>
    <row r="40" spans="1:39" x14ac:dyDescent="0.25">
      <c r="B40" s="11" t="s">
        <v>37</v>
      </c>
      <c r="C40" s="23">
        <v>1.3845465E-2</v>
      </c>
      <c r="D40" s="23">
        <v>1.60524114479242E-2</v>
      </c>
      <c r="AK40" s="11" t="s">
        <v>38</v>
      </c>
      <c r="AL40" s="23">
        <v>0.33602373299999999</v>
      </c>
      <c r="AM40" s="23">
        <v>0.23822759848085401</v>
      </c>
    </row>
    <row r="41" spans="1:39" x14ac:dyDescent="0.25">
      <c r="B41" s="11" t="s">
        <v>38</v>
      </c>
      <c r="C41" s="23">
        <v>0.171406324</v>
      </c>
      <c r="D41" s="23">
        <v>0.15116967377995599</v>
      </c>
      <c r="AK41" s="11" t="s">
        <v>39</v>
      </c>
      <c r="AL41" s="23">
        <v>0.92560755900000002</v>
      </c>
      <c r="AM41" s="23">
        <v>9.7854616735285198</v>
      </c>
    </row>
    <row r="42" spans="1:39" x14ac:dyDescent="0.25">
      <c r="B42" s="11" t="s">
        <v>39</v>
      </c>
      <c r="C42" s="23">
        <v>0.36442796799999999</v>
      </c>
      <c r="D42" s="23">
        <v>0.28913966528762097</v>
      </c>
      <c r="AK42" s="11" t="s">
        <v>40</v>
      </c>
      <c r="AL42" s="23">
        <v>0.119482637</v>
      </c>
      <c r="AM42" s="23">
        <v>1.7871858143038899</v>
      </c>
    </row>
    <row r="43" spans="1:39" x14ac:dyDescent="0.25">
      <c r="B43" s="11" t="s">
        <v>40</v>
      </c>
      <c r="C43" s="23">
        <v>1.7771720000000001E-2</v>
      </c>
      <c r="D43" s="23">
        <v>0.26973520454304201</v>
      </c>
      <c r="AK43" s="11" t="s">
        <v>41</v>
      </c>
      <c r="AL43" s="23">
        <v>7.5408119740000004</v>
      </c>
      <c r="AM43" s="23">
        <v>84.752910005494599</v>
      </c>
    </row>
    <row r="44" spans="1:39" x14ac:dyDescent="0.25">
      <c r="B44" s="11" t="s">
        <v>41</v>
      </c>
      <c r="C44" s="23">
        <v>0.58580895799999999</v>
      </c>
      <c r="D44" s="23">
        <v>0.44927371791166298</v>
      </c>
      <c r="AK44" s="11" t="s">
        <v>42</v>
      </c>
      <c r="AL44" s="23">
        <v>5.498209492</v>
      </c>
      <c r="AM44" s="23">
        <v>4.1051837342557898</v>
      </c>
    </row>
    <row r="45" spans="1:39" x14ac:dyDescent="0.25">
      <c r="B45" s="11" t="s">
        <v>42</v>
      </c>
      <c r="C45" s="23">
        <v>0.27333233699999998</v>
      </c>
      <c r="D45" s="23">
        <v>3.30137721316398E-2</v>
      </c>
      <c r="AK45" s="11" t="s">
        <v>61</v>
      </c>
      <c r="AL45" s="23">
        <v>0.14331861900000001</v>
      </c>
      <c r="AM45" s="23">
        <v>0.238955201502736</v>
      </c>
    </row>
    <row r="46" spans="1:39" x14ac:dyDescent="0.25">
      <c r="B46" s="11" t="s">
        <v>61</v>
      </c>
      <c r="C46" s="23">
        <v>2.1348730999999999E-2</v>
      </c>
      <c r="D46" s="23">
        <v>3.0606739862053499E-2</v>
      </c>
      <c r="AJ46" s="11" t="s">
        <v>46</v>
      </c>
      <c r="AK46" s="11" t="s">
        <v>28</v>
      </c>
      <c r="AL46" s="23">
        <v>0.429296966</v>
      </c>
      <c r="AM46" s="23">
        <v>4.17686749748548E-2</v>
      </c>
    </row>
    <row r="47" spans="1:39" x14ac:dyDescent="0.25">
      <c r="A47" s="11" t="s">
        <v>44</v>
      </c>
      <c r="B47" s="11" t="s">
        <v>28</v>
      </c>
      <c r="C47" s="23">
        <v>0.88430126399999998</v>
      </c>
      <c r="D47" s="23">
        <v>1.76503241337798</v>
      </c>
      <c r="AK47" s="11" t="s">
        <v>26</v>
      </c>
      <c r="AL47" s="23">
        <v>28.29677191</v>
      </c>
      <c r="AM47" s="23">
        <v>5.5012129926351196</v>
      </c>
    </row>
    <row r="48" spans="1:39" x14ac:dyDescent="0.25">
      <c r="B48" s="11" t="s">
        <v>26</v>
      </c>
      <c r="C48" s="23">
        <v>54.127314800000001</v>
      </c>
      <c r="D48" s="23">
        <v>79.141082187145102</v>
      </c>
      <c r="AK48" s="11" t="s">
        <v>27</v>
      </c>
      <c r="AL48" s="23">
        <v>0.73007783599999998</v>
      </c>
      <c r="AM48" s="23">
        <v>6.99242620518325</v>
      </c>
    </row>
    <row r="49" spans="2:39" x14ac:dyDescent="0.25">
      <c r="B49" s="11" t="s">
        <v>27</v>
      </c>
      <c r="C49" s="23">
        <v>1.8504768190000001</v>
      </c>
      <c r="D49" s="23">
        <v>4.9159557135116101</v>
      </c>
      <c r="AK49" s="11" t="s">
        <v>29</v>
      </c>
      <c r="AL49" s="23">
        <v>6.2381378300000003</v>
      </c>
      <c r="AM49" s="23">
        <v>14.8112987258913</v>
      </c>
    </row>
    <row r="50" spans="2:39" x14ac:dyDescent="0.25">
      <c r="B50" s="11" t="s">
        <v>29</v>
      </c>
      <c r="C50" s="23">
        <v>3.7125056569999999</v>
      </c>
      <c r="D50" s="23">
        <v>68.904421036935901</v>
      </c>
      <c r="AK50" s="11" t="s">
        <v>30</v>
      </c>
      <c r="AL50" s="23">
        <v>116.9275458</v>
      </c>
      <c r="AM50" s="23">
        <v>48.627700793497397</v>
      </c>
    </row>
    <row r="51" spans="2:39" x14ac:dyDescent="0.25">
      <c r="B51" s="11" t="s">
        <v>30</v>
      </c>
      <c r="C51" s="23">
        <v>35.167752389999997</v>
      </c>
      <c r="D51" s="23">
        <v>7.7396930747720099</v>
      </c>
      <c r="AK51" s="11" t="s">
        <v>31</v>
      </c>
      <c r="AL51" s="23">
        <v>4.049201965</v>
      </c>
      <c r="AM51" s="23">
        <v>2.1035118560195298E-2</v>
      </c>
    </row>
    <row r="52" spans="2:39" x14ac:dyDescent="0.25">
      <c r="B52" s="11" t="s">
        <v>31</v>
      </c>
      <c r="C52" s="23">
        <v>1.931333988</v>
      </c>
      <c r="D52" s="23">
        <v>2.03196298779698E-2</v>
      </c>
      <c r="AK52" s="11" t="s">
        <v>32</v>
      </c>
      <c r="AL52" s="23">
        <v>9.4130908999999999E-2</v>
      </c>
      <c r="AM52" s="23">
        <v>4.7332403754178902E-2</v>
      </c>
    </row>
    <row r="53" spans="2:39" x14ac:dyDescent="0.25">
      <c r="B53" s="11" t="s">
        <v>32</v>
      </c>
      <c r="C53" s="23">
        <v>0.107898733</v>
      </c>
      <c r="D53" s="23">
        <v>9.3276853110652896E-2</v>
      </c>
      <c r="AK53" s="11" t="s">
        <v>33</v>
      </c>
      <c r="AL53" s="23">
        <v>0.834173418</v>
      </c>
      <c r="AM53" s="23">
        <v>0.50673427728902698</v>
      </c>
    </row>
    <row r="54" spans="2:39" x14ac:dyDescent="0.25">
      <c r="B54" s="11" t="s">
        <v>33</v>
      </c>
      <c r="C54" s="23">
        <v>2.1481015079999999</v>
      </c>
      <c r="D54" s="23">
        <v>1.2398314002048101</v>
      </c>
      <c r="AK54" s="11" t="s">
        <v>34</v>
      </c>
      <c r="AL54" s="23">
        <v>5.9988614000000003E-2</v>
      </c>
      <c r="AM54" s="23">
        <v>0.31022441590419297</v>
      </c>
    </row>
    <row r="55" spans="2:39" x14ac:dyDescent="0.25">
      <c r="B55" s="11" t="s">
        <v>34</v>
      </c>
      <c r="C55" s="23">
        <v>0.13811093099999999</v>
      </c>
      <c r="D55" s="23">
        <v>7.5959490068581506E-2</v>
      </c>
      <c r="AK55" s="11" t="s">
        <v>35</v>
      </c>
      <c r="AL55" s="23">
        <v>0.31765765200000001</v>
      </c>
      <c r="AM55" s="23">
        <v>1.81649450865465</v>
      </c>
    </row>
    <row r="56" spans="2:39" x14ac:dyDescent="0.25">
      <c r="B56" s="11" t="s">
        <v>35</v>
      </c>
      <c r="C56" s="23">
        <v>0.36653887899999998</v>
      </c>
      <c r="D56" s="23">
        <v>2.6747517473726901</v>
      </c>
      <c r="AK56" s="11" t="s">
        <v>36</v>
      </c>
      <c r="AL56" s="23">
        <v>6.7086931700000001</v>
      </c>
      <c r="AM56" s="23">
        <v>1.09268027810971</v>
      </c>
    </row>
    <row r="57" spans="2:39" x14ac:dyDescent="0.25">
      <c r="B57" s="11" t="s">
        <v>36</v>
      </c>
      <c r="C57" s="23">
        <v>1.444602728</v>
      </c>
      <c r="D57" s="23">
        <v>0.63876020168956305</v>
      </c>
      <c r="AK57" s="11" t="s">
        <v>37</v>
      </c>
      <c r="AL57" s="23">
        <v>0.14340008800000001</v>
      </c>
      <c r="AM57" s="23">
        <v>0.11586413910625901</v>
      </c>
    </row>
    <row r="58" spans="2:39" x14ac:dyDescent="0.25">
      <c r="B58" s="11" t="s">
        <v>37</v>
      </c>
      <c r="C58" s="23">
        <v>0.33139898499999998</v>
      </c>
      <c r="D58" s="23">
        <v>0.11331047452236501</v>
      </c>
      <c r="AK58" s="11" t="s">
        <v>38</v>
      </c>
      <c r="AL58" s="23">
        <v>7.9055994000000004E-2</v>
      </c>
      <c r="AM58" s="23">
        <v>7.3017366081258903E-2</v>
      </c>
    </row>
    <row r="59" spans="2:39" x14ac:dyDescent="0.25">
      <c r="B59" s="11" t="s">
        <v>38</v>
      </c>
      <c r="C59" s="23">
        <v>0.29942735999999998</v>
      </c>
      <c r="D59" s="23">
        <v>0.35726674882146803</v>
      </c>
      <c r="AK59" s="11" t="s">
        <v>39</v>
      </c>
      <c r="AL59" s="23">
        <v>8.9522220539999999</v>
      </c>
      <c r="AM59" s="23">
        <v>4.5505277722183601</v>
      </c>
    </row>
    <row r="60" spans="2:39" x14ac:dyDescent="0.25">
      <c r="B60" s="11" t="s">
        <v>39</v>
      </c>
      <c r="C60" s="23">
        <v>10.84080309</v>
      </c>
      <c r="D60" s="23">
        <v>9.8899075872316597</v>
      </c>
      <c r="AK60" s="11" t="s">
        <v>40</v>
      </c>
      <c r="AL60" s="23">
        <v>0.634624725</v>
      </c>
      <c r="AM60" s="23">
        <v>3.4609655165136699</v>
      </c>
    </row>
    <row r="61" spans="2:39" x14ac:dyDescent="0.25">
      <c r="B61" s="11" t="s">
        <v>40</v>
      </c>
      <c r="C61" s="23">
        <v>0.42571435400000002</v>
      </c>
      <c r="D61" s="23">
        <v>1.6125257200354799</v>
      </c>
      <c r="AK61" s="11" t="s">
        <v>41</v>
      </c>
      <c r="AL61" s="23">
        <v>2.6253340770000002</v>
      </c>
      <c r="AM61" s="23">
        <v>12.0003159592312</v>
      </c>
    </row>
    <row r="62" spans="2:39" x14ac:dyDescent="0.25">
      <c r="B62" s="11" t="s">
        <v>41</v>
      </c>
      <c r="C62" s="23">
        <v>0.43341300900000002</v>
      </c>
      <c r="D62" s="23">
        <v>18.4444639051863</v>
      </c>
      <c r="AK62" s="11" t="s">
        <v>42</v>
      </c>
      <c r="AL62" s="23">
        <v>40.852237080000002</v>
      </c>
      <c r="AM62" s="23">
        <v>14.297438233290499</v>
      </c>
    </row>
    <row r="63" spans="2:39" x14ac:dyDescent="0.25">
      <c r="B63" s="11" t="s">
        <v>42</v>
      </c>
      <c r="C63" s="23">
        <v>9.6241110639999992</v>
      </c>
      <c r="D63" s="23">
        <v>0.92852050259173502</v>
      </c>
      <c r="AK63" s="11" t="s">
        <v>61</v>
      </c>
      <c r="AL63" s="23">
        <v>3.7352708020000001</v>
      </c>
      <c r="AM63" s="23">
        <v>0.22101245497237501</v>
      </c>
    </row>
    <row r="64" spans="2:39" x14ac:dyDescent="0.25">
      <c r="B64" s="11" t="s">
        <v>61</v>
      </c>
      <c r="C64" s="23">
        <v>1.2717615680000001</v>
      </c>
      <c r="D64" s="23">
        <v>0.21750818821981599</v>
      </c>
      <c r="AJ64" s="11" t="s">
        <v>56</v>
      </c>
      <c r="AK64" s="11" t="s">
        <v>28</v>
      </c>
      <c r="AL64" s="23">
        <v>4.3955510000000001E-3</v>
      </c>
      <c r="AM64" s="23">
        <v>5.3493312579485398E-3</v>
      </c>
    </row>
    <row r="65" spans="1:39" x14ac:dyDescent="0.25">
      <c r="A65" s="11" t="s">
        <v>55</v>
      </c>
      <c r="B65" s="11" t="s">
        <v>28</v>
      </c>
      <c r="C65" s="23">
        <v>2.9986723999999999E-2</v>
      </c>
      <c r="D65" s="23">
        <v>0.78218061101344705</v>
      </c>
      <c r="AK65" s="11" t="s">
        <v>26</v>
      </c>
      <c r="AL65" s="23">
        <v>1.9542509779999999</v>
      </c>
      <c r="AM65" s="23">
        <v>5.6040984431192702E-2</v>
      </c>
    </row>
    <row r="66" spans="1:39" x14ac:dyDescent="0.25">
      <c r="B66" s="11" t="s">
        <v>26</v>
      </c>
      <c r="C66" s="23">
        <v>3.0315727140000002</v>
      </c>
      <c r="D66" s="23">
        <v>8.0649082267936105</v>
      </c>
      <c r="AK66" s="11" t="s">
        <v>27</v>
      </c>
      <c r="AL66" s="23">
        <v>3.4642158940000001</v>
      </c>
      <c r="AM66" s="23">
        <v>1.0013746170764001E-2</v>
      </c>
    </row>
    <row r="67" spans="1:39" x14ac:dyDescent="0.25">
      <c r="B67" s="11" t="s">
        <v>27</v>
      </c>
      <c r="C67" s="23">
        <v>5.3749931740000001</v>
      </c>
      <c r="D67" s="23">
        <v>11.255708521506</v>
      </c>
      <c r="AK67" s="11" t="s">
        <v>29</v>
      </c>
      <c r="AL67" s="23">
        <v>0.18786340800000001</v>
      </c>
      <c r="AM67" s="23">
        <v>4.4550629155602199E-2</v>
      </c>
    </row>
    <row r="68" spans="1:39" x14ac:dyDescent="0.25">
      <c r="B68" s="11" t="s">
        <v>29</v>
      </c>
      <c r="C68" s="23">
        <v>5.3714154E-2</v>
      </c>
      <c r="D68" s="23">
        <v>22.614405245825498</v>
      </c>
      <c r="AK68" s="11" t="s">
        <v>30</v>
      </c>
      <c r="AL68" s="23">
        <v>3.8863381829999999</v>
      </c>
      <c r="AM68" s="23">
        <v>3.1185811886920999E-2</v>
      </c>
    </row>
    <row r="69" spans="1:39" x14ac:dyDescent="0.25">
      <c r="B69" s="11" t="s">
        <v>30</v>
      </c>
      <c r="C69" s="23">
        <v>1.5966643840000001</v>
      </c>
      <c r="D69" s="23">
        <v>12.8005295269201</v>
      </c>
      <c r="AK69" s="11" t="s">
        <v>31</v>
      </c>
      <c r="AL69" s="23">
        <v>10.161374009999999</v>
      </c>
      <c r="AM69" s="23">
        <v>2.6848502517967401E-2</v>
      </c>
    </row>
    <row r="70" spans="1:39" x14ac:dyDescent="0.25">
      <c r="B70" s="11" t="s">
        <v>31</v>
      </c>
      <c r="C70" s="23">
        <v>4.8650362640000004</v>
      </c>
      <c r="D70" s="23">
        <v>1.05753926524548E-2</v>
      </c>
      <c r="AK70" s="11" t="s">
        <v>32</v>
      </c>
      <c r="AL70" s="23">
        <v>3.1080555999999999E-2</v>
      </c>
      <c r="AM70" s="23">
        <v>3.07106638575841E-2</v>
      </c>
    </row>
    <row r="71" spans="1:39" x14ac:dyDescent="0.25">
      <c r="B71" s="11" t="s">
        <v>32</v>
      </c>
      <c r="C71" s="23">
        <v>2.6499360999999999E-2</v>
      </c>
      <c r="D71" s="23">
        <v>4.8049605918562499E-2</v>
      </c>
      <c r="AK71" s="11" t="s">
        <v>33</v>
      </c>
      <c r="AL71" s="23">
        <v>0.13736209999999999</v>
      </c>
      <c r="AM71" s="23">
        <v>0.163081433400138</v>
      </c>
    </row>
    <row r="72" spans="1:39" x14ac:dyDescent="0.25">
      <c r="B72" s="11" t="s">
        <v>33</v>
      </c>
      <c r="C72" s="23">
        <v>0.47141955099999999</v>
      </c>
      <c r="D72" s="23">
        <v>0.12889248878739401</v>
      </c>
      <c r="AK72" s="11" t="s">
        <v>34</v>
      </c>
      <c r="AL72" s="23">
        <v>0.23826318499999999</v>
      </c>
      <c r="AM72" s="23">
        <v>4.9948673838578497E-2</v>
      </c>
    </row>
    <row r="73" spans="1:39" x14ac:dyDescent="0.25">
      <c r="B73" s="11" t="s">
        <v>34</v>
      </c>
      <c r="C73" s="23">
        <v>0.13651691699999999</v>
      </c>
      <c r="D73" s="23">
        <v>0.35108656098555702</v>
      </c>
      <c r="AK73" s="11" t="s">
        <v>35</v>
      </c>
      <c r="AL73" s="23">
        <v>0.211271178</v>
      </c>
      <c r="AM73" s="23">
        <v>0.29360880452114502</v>
      </c>
    </row>
    <row r="74" spans="1:39" x14ac:dyDescent="0.25">
      <c r="B74" s="11" t="s">
        <v>35</v>
      </c>
      <c r="C74" s="23">
        <v>0.180246717</v>
      </c>
      <c r="D74" s="23">
        <v>0.91597680693540595</v>
      </c>
      <c r="AK74" s="11" t="s">
        <v>36</v>
      </c>
      <c r="AL74" s="23">
        <v>0.42063528100000003</v>
      </c>
      <c r="AM74" s="23">
        <v>0.14082461792070999</v>
      </c>
    </row>
    <row r="75" spans="1:39" x14ac:dyDescent="0.25">
      <c r="B75" s="11" t="s">
        <v>36</v>
      </c>
      <c r="C75" s="23">
        <v>0.177982426</v>
      </c>
      <c r="D75" s="23">
        <v>0.33062589969392903</v>
      </c>
      <c r="AK75" s="11" t="s">
        <v>37</v>
      </c>
      <c r="AL75" s="23">
        <v>1.186731746</v>
      </c>
      <c r="AM75" s="23">
        <v>7.4867075977356007E-2</v>
      </c>
    </row>
    <row r="76" spans="1:39" x14ac:dyDescent="0.25">
      <c r="B76" s="11" t="s">
        <v>37</v>
      </c>
      <c r="C76" s="23">
        <v>0.24227136499999999</v>
      </c>
      <c r="D76" s="23">
        <v>5.8703863815242001E-2</v>
      </c>
      <c r="AK76" s="11" t="s">
        <v>38</v>
      </c>
      <c r="AL76" s="23">
        <v>1.7244457000000001E-2</v>
      </c>
      <c r="AM76" s="23">
        <v>2.3599796352802099E-2</v>
      </c>
    </row>
    <row r="77" spans="1:39" x14ac:dyDescent="0.25">
      <c r="B77" s="11" t="s">
        <v>38</v>
      </c>
      <c r="C77" s="23">
        <v>2.9426706E-2</v>
      </c>
      <c r="D77" s="23">
        <v>0.16599100975360501</v>
      </c>
      <c r="AK77" s="11" t="s">
        <v>39</v>
      </c>
      <c r="AL77" s="23">
        <v>2.5049342710000002</v>
      </c>
      <c r="AM77" s="23">
        <v>0.22598010106536701</v>
      </c>
    </row>
    <row r="78" spans="1:39" x14ac:dyDescent="0.25">
      <c r="B78" s="11" t="s">
        <v>39</v>
      </c>
      <c r="C78" s="23">
        <v>1.3323763390000001</v>
      </c>
      <c r="D78" s="23">
        <v>3.52436721945271</v>
      </c>
      <c r="AK78" s="11" t="s">
        <v>40</v>
      </c>
      <c r="AL78" s="23">
        <v>1.7037326509999999</v>
      </c>
      <c r="AM78" s="23">
        <v>9.6982361609372097E-2</v>
      </c>
    </row>
    <row r="79" spans="1:39" x14ac:dyDescent="0.25">
      <c r="B79" s="11" t="s">
        <v>40</v>
      </c>
      <c r="C79" s="23">
        <v>1.557032304</v>
      </c>
      <c r="D79" s="23">
        <v>3.64198349618967</v>
      </c>
      <c r="AK79" s="11" t="s">
        <v>41</v>
      </c>
      <c r="AL79" s="23">
        <v>0.12533614800000001</v>
      </c>
      <c r="AM79" s="23">
        <v>0.23278944296721801</v>
      </c>
    </row>
    <row r="80" spans="1:39" x14ac:dyDescent="0.25">
      <c r="B80" s="11" t="s">
        <v>41</v>
      </c>
      <c r="C80" s="23">
        <v>0.213299457</v>
      </c>
      <c r="D80" s="23">
        <v>8.4251774657883107</v>
      </c>
      <c r="AK80" s="11" t="s">
        <v>42</v>
      </c>
      <c r="AL80" s="23">
        <v>2.03599394</v>
      </c>
      <c r="AM80" s="23">
        <v>0.15390013572998501</v>
      </c>
    </row>
    <row r="81" spans="1:39" ht="15.75" x14ac:dyDescent="0.25">
      <c r="B81" s="11" t="s">
        <v>42</v>
      </c>
      <c r="C81" s="23">
        <v>1.3332879529999999</v>
      </c>
      <c r="D81" s="23">
        <v>3.3649842341122298</v>
      </c>
      <c r="AK81" s="60" t="s">
        <v>60</v>
      </c>
      <c r="AL81" s="23">
        <v>7.097245236</v>
      </c>
      <c r="AM81" s="23">
        <v>0.14210679184494299</v>
      </c>
    </row>
    <row r="82" spans="1:39" ht="15.75" x14ac:dyDescent="0.25">
      <c r="B82" s="60" t="s">
        <v>60</v>
      </c>
      <c r="C82" s="23">
        <v>2.4411439289999999</v>
      </c>
      <c r="D82" s="23">
        <v>0.113011619627891</v>
      </c>
    </row>
    <row r="86" spans="1:39" x14ac:dyDescent="0.25">
      <c r="A86" s="11" t="s">
        <v>12</v>
      </c>
      <c r="B86" s="11" t="s">
        <v>0</v>
      </c>
      <c r="C86" s="11">
        <v>2019</v>
      </c>
      <c r="D86" s="11">
        <v>2010</v>
      </c>
      <c r="AJ86" s="11" t="s">
        <v>12</v>
      </c>
      <c r="AK86" s="11" t="s">
        <v>0</v>
      </c>
      <c r="AL86" s="11">
        <v>2019</v>
      </c>
      <c r="AM86" s="11">
        <v>2010</v>
      </c>
    </row>
    <row r="87" spans="1:39" x14ac:dyDescent="0.25">
      <c r="A87" s="11" t="s">
        <v>47</v>
      </c>
      <c r="B87" s="11" t="s">
        <v>28</v>
      </c>
      <c r="C87" s="23">
        <v>7.0962080999999996E-2</v>
      </c>
      <c r="D87" s="23">
        <v>5.2080032487890802E-2</v>
      </c>
      <c r="AJ87" s="11" t="s">
        <v>49</v>
      </c>
      <c r="AK87" s="11" t="s">
        <v>28</v>
      </c>
      <c r="AL87" s="23">
        <v>0.19091519800000001</v>
      </c>
      <c r="AM87" s="23">
        <v>0.144102107509361</v>
      </c>
    </row>
    <row r="88" spans="1:39" x14ac:dyDescent="0.25">
      <c r="B88" s="11" t="s">
        <v>26</v>
      </c>
      <c r="C88" s="23">
        <v>0.46981498599999999</v>
      </c>
      <c r="D88" s="23">
        <v>6.8084390900663497E-2</v>
      </c>
      <c r="AK88" s="11" t="s">
        <v>26</v>
      </c>
      <c r="AL88" s="23">
        <v>0.56371948199999999</v>
      </c>
      <c r="AM88" s="23">
        <v>15.0135942688788</v>
      </c>
    </row>
    <row r="89" spans="1:39" x14ac:dyDescent="0.25">
      <c r="B89" s="11" t="s">
        <v>27</v>
      </c>
      <c r="C89" s="23">
        <v>1.5281404E-2</v>
      </c>
      <c r="D89" s="23">
        <v>3.6460774676972701E-2</v>
      </c>
      <c r="AK89" s="11" t="s">
        <v>27</v>
      </c>
      <c r="AL89" s="23">
        <v>0.109783644</v>
      </c>
      <c r="AM89" s="23">
        <v>0.40034395179250898</v>
      </c>
    </row>
    <row r="90" spans="1:39" x14ac:dyDescent="0.25">
      <c r="B90" s="11" t="s">
        <v>29</v>
      </c>
      <c r="C90" s="23">
        <v>0.25457442400000002</v>
      </c>
      <c r="D90" s="23">
        <v>0.215168571114841</v>
      </c>
      <c r="AK90" s="11" t="s">
        <v>29</v>
      </c>
      <c r="AL90" s="23">
        <v>3.1714742739999999</v>
      </c>
      <c r="AM90" s="23">
        <v>39.159573223417503</v>
      </c>
    </row>
    <row r="91" spans="1:39" x14ac:dyDescent="0.25">
      <c r="B91" s="11" t="s">
        <v>30</v>
      </c>
      <c r="C91" s="23">
        <v>0.22889737099999999</v>
      </c>
      <c r="D91" s="23">
        <v>3.7834131775341798E-2</v>
      </c>
      <c r="AK91" s="11" t="s">
        <v>30</v>
      </c>
      <c r="AL91" s="23">
        <v>1.91688433</v>
      </c>
      <c r="AM91" s="23">
        <v>3.32271026327559</v>
      </c>
    </row>
    <row r="92" spans="1:39" x14ac:dyDescent="0.25">
      <c r="B92" s="11" t="s">
        <v>31</v>
      </c>
      <c r="C92" s="23">
        <v>3.2940298E-2</v>
      </c>
      <c r="D92" s="23">
        <v>1.6486156597527599E-2</v>
      </c>
      <c r="AK92" s="11" t="s">
        <v>31</v>
      </c>
      <c r="AL92" s="23">
        <v>0.11782094899999999</v>
      </c>
      <c r="AM92" s="23">
        <v>0.179094149915731</v>
      </c>
    </row>
    <row r="93" spans="1:39" x14ac:dyDescent="0.25">
      <c r="B93" s="11" t="s">
        <v>32</v>
      </c>
      <c r="C93" s="23">
        <v>1.0049873650000001</v>
      </c>
      <c r="D93" s="23">
        <v>1.52421531554585</v>
      </c>
      <c r="AK93" s="11" t="s">
        <v>32</v>
      </c>
      <c r="AL93" s="23">
        <v>1.8067817610000001</v>
      </c>
      <c r="AM93" s="23">
        <v>2.0420732031096902</v>
      </c>
    </row>
    <row r="94" spans="1:39" x14ac:dyDescent="0.25">
      <c r="B94" s="11" t="s">
        <v>33</v>
      </c>
      <c r="C94" s="23">
        <v>2.216510494</v>
      </c>
      <c r="D94" s="23">
        <v>2.9809704370211501</v>
      </c>
      <c r="AK94" s="11" t="s">
        <v>33</v>
      </c>
      <c r="AL94" s="23">
        <v>7.988084465</v>
      </c>
      <c r="AM94" s="23">
        <v>67.712186536451298</v>
      </c>
    </row>
    <row r="95" spans="1:39" x14ac:dyDescent="0.25">
      <c r="B95" s="11" t="s">
        <v>34</v>
      </c>
      <c r="C95" s="23">
        <v>0.24116460200000001</v>
      </c>
      <c r="D95" s="23">
        <v>1.2702104885399199</v>
      </c>
      <c r="AK95" s="11" t="s">
        <v>34</v>
      </c>
      <c r="AL95" s="23">
        <v>0.57530640300000002</v>
      </c>
      <c r="AM95" s="23">
        <v>9.3243402635197796</v>
      </c>
    </row>
    <row r="96" spans="1:39" x14ac:dyDescent="0.25">
      <c r="B96" s="11" t="s">
        <v>35</v>
      </c>
      <c r="C96" s="23">
        <v>4.2700435160000003</v>
      </c>
      <c r="D96" s="23">
        <v>6.0407534081897296</v>
      </c>
      <c r="AK96" s="11" t="s">
        <v>35</v>
      </c>
      <c r="AL96" s="23">
        <v>24.450705719999998</v>
      </c>
      <c r="AM96" s="23">
        <v>769.59209389997102</v>
      </c>
    </row>
    <row r="97" spans="1:39" x14ac:dyDescent="0.25">
      <c r="B97" s="11" t="s">
        <v>36</v>
      </c>
      <c r="C97" s="23">
        <v>3.1574678999999999</v>
      </c>
      <c r="D97" s="23">
        <v>0.170623495528751</v>
      </c>
      <c r="AK97" s="11" t="s">
        <v>36</v>
      </c>
      <c r="AL97" s="23">
        <v>16.54063176</v>
      </c>
      <c r="AM97" s="23">
        <v>52.405738930746097</v>
      </c>
    </row>
    <row r="98" spans="1:39" x14ac:dyDescent="0.25">
      <c r="B98" s="11" t="s">
        <v>37</v>
      </c>
      <c r="C98" s="23">
        <v>0.47889541800000002</v>
      </c>
      <c r="D98" s="23">
        <v>9.0868587943600795E-2</v>
      </c>
      <c r="AK98" s="11" t="s">
        <v>37</v>
      </c>
      <c r="AL98" s="23">
        <v>0.68621405599999996</v>
      </c>
      <c r="AM98" s="23">
        <v>0.99105476520161695</v>
      </c>
    </row>
    <row r="99" spans="1:39" x14ac:dyDescent="0.25">
      <c r="B99" s="11" t="s">
        <v>38</v>
      </c>
      <c r="C99" s="23">
        <v>6.9535930999999995E-2</v>
      </c>
      <c r="D99" s="23">
        <v>0.22845394465052399</v>
      </c>
      <c r="AK99" s="11" t="s">
        <v>38</v>
      </c>
      <c r="AL99" s="23">
        <v>0.24926361699999999</v>
      </c>
      <c r="AM99" s="23">
        <v>0.31253360353977899</v>
      </c>
    </row>
    <row r="100" spans="1:39" x14ac:dyDescent="0.25">
      <c r="B100" s="11" t="s">
        <v>39</v>
      </c>
      <c r="C100" s="23">
        <v>0.95359931499999995</v>
      </c>
      <c r="D100" s="23">
        <v>0.82014639956534896</v>
      </c>
      <c r="AK100" s="11" t="s">
        <v>39</v>
      </c>
      <c r="AL100" s="23">
        <v>2.2451951569999999</v>
      </c>
      <c r="AM100" s="23">
        <v>26.864707950265601</v>
      </c>
    </row>
    <row r="101" spans="1:39" x14ac:dyDescent="0.25">
      <c r="B101" s="11" t="s">
        <v>40</v>
      </c>
      <c r="C101" s="23">
        <v>0.122630948</v>
      </c>
      <c r="D101" s="23">
        <v>0.11773678685964099</v>
      </c>
      <c r="AK101" s="11" t="s">
        <v>40</v>
      </c>
      <c r="AL101" s="23">
        <v>0.879262459</v>
      </c>
      <c r="AM101" s="23">
        <v>2.5997584380012899</v>
      </c>
    </row>
    <row r="102" spans="1:39" x14ac:dyDescent="0.25">
      <c r="B102" s="11" t="s">
        <v>41</v>
      </c>
      <c r="C102" s="23">
        <v>0.50423113600000002</v>
      </c>
      <c r="D102" s="23">
        <v>0.57152041053644598</v>
      </c>
      <c r="AK102" s="11" t="s">
        <v>41</v>
      </c>
      <c r="AL102" s="23">
        <v>3.6115805910000001</v>
      </c>
      <c r="AM102" s="23">
        <v>49.627821640402203</v>
      </c>
    </row>
    <row r="103" spans="1:39" x14ac:dyDescent="0.25">
      <c r="B103" s="11" t="s">
        <v>42</v>
      </c>
      <c r="C103" s="23">
        <v>0.31560970500000002</v>
      </c>
      <c r="D103" s="23">
        <v>0.186091023745037</v>
      </c>
      <c r="AK103" s="11" t="s">
        <v>42</v>
      </c>
      <c r="AL103" s="23">
        <v>1.1293846599999999</v>
      </c>
      <c r="AM103" s="23">
        <v>2.0393766756211198</v>
      </c>
    </row>
    <row r="104" spans="1:39" x14ac:dyDescent="0.25">
      <c r="B104" s="11" t="s">
        <v>61</v>
      </c>
      <c r="C104" s="23">
        <v>0.14698472000000001</v>
      </c>
      <c r="D104" s="23">
        <v>0.17328067019646201</v>
      </c>
      <c r="AK104" s="11" t="s">
        <v>61</v>
      </c>
      <c r="AL104" s="23">
        <v>1.05914814</v>
      </c>
      <c r="AM104" s="23">
        <v>1.8944631700516801</v>
      </c>
    </row>
    <row r="105" spans="1:39" x14ac:dyDescent="0.25">
      <c r="A105" s="11" t="s">
        <v>48</v>
      </c>
      <c r="B105" s="11" t="s">
        <v>28</v>
      </c>
      <c r="C105" s="23">
        <v>2.8663131000000001E-2</v>
      </c>
      <c r="D105" s="23">
        <v>0.177947520457713</v>
      </c>
      <c r="AJ105" s="11" t="s">
        <v>50</v>
      </c>
      <c r="AK105" s="11" t="s">
        <v>28</v>
      </c>
      <c r="AL105" s="23">
        <v>4.8116873999999997E-2</v>
      </c>
      <c r="AM105" s="23">
        <v>5.5354741688175599E-2</v>
      </c>
    </row>
    <row r="106" spans="1:39" x14ac:dyDescent="0.25">
      <c r="B106" s="11" t="s">
        <v>26</v>
      </c>
      <c r="C106" s="23">
        <v>3.8060266829999998</v>
      </c>
      <c r="D106" s="23">
        <v>7.7685653679266702</v>
      </c>
      <c r="AK106" s="11" t="s">
        <v>26</v>
      </c>
      <c r="AL106" s="23">
        <v>5.1279328499999997</v>
      </c>
      <c r="AM106" s="23">
        <v>1.75189356481417</v>
      </c>
    </row>
    <row r="107" spans="1:39" x14ac:dyDescent="0.25">
      <c r="B107" s="11" t="s">
        <v>27</v>
      </c>
      <c r="C107" s="23">
        <v>0.29606660200000001</v>
      </c>
      <c r="D107" s="23">
        <v>0.38848278912991402</v>
      </c>
      <c r="AK107" s="11" t="s">
        <v>27</v>
      </c>
      <c r="AL107" s="23">
        <v>8.3121350999999996E-2</v>
      </c>
      <c r="AM107" s="23">
        <v>0.51527724198376301</v>
      </c>
    </row>
    <row r="108" spans="1:39" x14ac:dyDescent="0.25">
      <c r="B108" s="11" t="s">
        <v>29</v>
      </c>
      <c r="C108" s="23">
        <v>0.82612058499999996</v>
      </c>
      <c r="D108" s="23">
        <v>7.1557369217323004</v>
      </c>
      <c r="AK108" s="11" t="s">
        <v>29</v>
      </c>
      <c r="AL108" s="23">
        <v>1.4052136630000001</v>
      </c>
      <c r="AM108" s="23">
        <v>5.0592478703107897</v>
      </c>
    </row>
    <row r="109" spans="1:39" x14ac:dyDescent="0.25">
      <c r="B109" s="11" t="s">
        <v>30</v>
      </c>
      <c r="C109" s="23">
        <v>2.366811142</v>
      </c>
      <c r="D109" s="23">
        <v>0.85861106191735204</v>
      </c>
      <c r="AK109" s="11" t="s">
        <v>30</v>
      </c>
      <c r="AL109" s="23">
        <v>13.010768130000001</v>
      </c>
      <c r="AM109" s="23">
        <v>3.8685524017372002</v>
      </c>
    </row>
    <row r="110" spans="1:39" x14ac:dyDescent="0.25">
      <c r="B110" s="11" t="s">
        <v>31</v>
      </c>
      <c r="C110" s="23">
        <v>0.16023849500000001</v>
      </c>
      <c r="D110" s="23">
        <v>7.44268548686568E-2</v>
      </c>
      <c r="AK110" s="11" t="s">
        <v>31</v>
      </c>
      <c r="AL110" s="23">
        <v>0.71874806800000002</v>
      </c>
      <c r="AM110" s="23">
        <v>0.13816239833293001</v>
      </c>
    </row>
    <row r="111" spans="1:39" x14ac:dyDescent="0.25">
      <c r="B111" s="11" t="s">
        <v>32</v>
      </c>
      <c r="C111" s="23">
        <v>1.21370355</v>
      </c>
      <c r="D111" s="23">
        <v>1.69688258386519</v>
      </c>
      <c r="AK111" s="11" t="s">
        <v>32</v>
      </c>
      <c r="AL111" s="23">
        <v>1.710375816</v>
      </c>
      <c r="AM111" s="23">
        <v>0.31327069028909399</v>
      </c>
    </row>
    <row r="112" spans="1:39" x14ac:dyDescent="0.25">
      <c r="B112" s="11" t="s">
        <v>33</v>
      </c>
      <c r="C112" s="23">
        <v>55.315573299999997</v>
      </c>
      <c r="D112" s="23">
        <v>85.361035999341695</v>
      </c>
      <c r="AK112" s="11" t="s">
        <v>33</v>
      </c>
      <c r="AL112" s="23">
        <v>63.44670163</v>
      </c>
      <c r="AM112" s="23">
        <v>16.921651622548598</v>
      </c>
    </row>
    <row r="113" spans="1:39" x14ac:dyDescent="0.25">
      <c r="B113" s="11" t="s">
        <v>34</v>
      </c>
      <c r="C113" s="23">
        <v>5.1798072150000003</v>
      </c>
      <c r="D113" s="23">
        <v>8.0012852183539707</v>
      </c>
      <c r="AK113" s="11" t="s">
        <v>34</v>
      </c>
      <c r="AL113" s="23">
        <v>2.6143489099999999</v>
      </c>
      <c r="AM113" s="23">
        <v>26.856247680584602</v>
      </c>
    </row>
    <row r="114" spans="1:39" x14ac:dyDescent="0.25">
      <c r="B114" s="11" t="s">
        <v>35</v>
      </c>
      <c r="C114" s="23">
        <v>4.1369186469999999</v>
      </c>
      <c r="D114" s="23">
        <v>165.625375222049</v>
      </c>
      <c r="AK114" s="11" t="s">
        <v>35</v>
      </c>
      <c r="AL114" s="23">
        <v>4.6746184309999999</v>
      </c>
      <c r="AM114" s="23">
        <v>91.214609122532707</v>
      </c>
    </row>
    <row r="115" spans="1:39" x14ac:dyDescent="0.25">
      <c r="B115" s="11" t="s">
        <v>36</v>
      </c>
      <c r="C115" s="23">
        <v>59.509246930000003</v>
      </c>
      <c r="D115" s="23">
        <v>23.331849386304199</v>
      </c>
      <c r="AK115" s="11" t="s">
        <v>36</v>
      </c>
      <c r="AL115" s="23">
        <v>226.8253507</v>
      </c>
      <c r="AM115" s="23">
        <v>133.42868289740599</v>
      </c>
    </row>
    <row r="116" spans="1:39" x14ac:dyDescent="0.25">
      <c r="B116" s="11" t="s">
        <v>37</v>
      </c>
      <c r="C116" s="23">
        <v>7.3958349559999998</v>
      </c>
      <c r="D116" s="23">
        <v>0.41236703823974902</v>
      </c>
      <c r="AK116" s="11" t="s">
        <v>37</v>
      </c>
      <c r="AL116" s="23">
        <v>12.52390228</v>
      </c>
      <c r="AM116" s="23">
        <v>0.76522415135908795</v>
      </c>
    </row>
    <row r="117" spans="1:39" x14ac:dyDescent="0.25">
      <c r="B117" s="11" t="s">
        <v>38</v>
      </c>
      <c r="C117" s="23">
        <v>0.11233655400000001</v>
      </c>
      <c r="D117" s="23">
        <v>0.12988629348813299</v>
      </c>
      <c r="AK117" s="11" t="s">
        <v>38</v>
      </c>
      <c r="AL117" s="23">
        <v>0.188932723</v>
      </c>
      <c r="AM117" s="23">
        <v>0.24220477076078001</v>
      </c>
    </row>
    <row r="118" spans="1:39" x14ac:dyDescent="0.25">
      <c r="B118" s="11" t="s">
        <v>39</v>
      </c>
      <c r="C118" s="23">
        <v>7.0534003260000002</v>
      </c>
      <c r="D118" s="23">
        <v>9.9765812406708694</v>
      </c>
      <c r="AK118" s="11" t="s">
        <v>39</v>
      </c>
      <c r="AL118" s="23">
        <v>5.2563075340000003</v>
      </c>
      <c r="AM118" s="23">
        <v>2.3055105592976899</v>
      </c>
    </row>
    <row r="119" spans="1:39" x14ac:dyDescent="0.25">
      <c r="B119" s="11" t="s">
        <v>40</v>
      </c>
      <c r="C119" s="23">
        <v>0.79268725200000001</v>
      </c>
      <c r="D119" s="23">
        <v>1.0684908213383699</v>
      </c>
      <c r="AK119" s="11" t="s">
        <v>40</v>
      </c>
      <c r="AL119" s="23">
        <v>0.66504282400000003</v>
      </c>
      <c r="AM119" s="23">
        <v>4.0119857130529004</v>
      </c>
    </row>
    <row r="120" spans="1:39" x14ac:dyDescent="0.25">
      <c r="B120" s="11" t="s">
        <v>41</v>
      </c>
      <c r="C120" s="23">
        <v>0.81788047699999999</v>
      </c>
      <c r="D120" s="23">
        <v>6.4547322802033804</v>
      </c>
      <c r="AK120" s="11" t="s">
        <v>41</v>
      </c>
      <c r="AL120" s="23">
        <v>1.368064929</v>
      </c>
      <c r="AM120" s="23">
        <v>4.8879855752577503</v>
      </c>
    </row>
    <row r="121" spans="1:39" x14ac:dyDescent="0.25">
      <c r="B121" s="11" t="s">
        <v>42</v>
      </c>
      <c r="C121" s="23">
        <v>4.0581988200000003</v>
      </c>
      <c r="D121" s="23">
        <v>0.84393483585947704</v>
      </c>
      <c r="AK121" s="11" t="s">
        <v>42</v>
      </c>
      <c r="AL121" s="23">
        <v>25.701949209999999</v>
      </c>
      <c r="AM121" s="23">
        <v>6.3679060193298103</v>
      </c>
    </row>
    <row r="122" spans="1:39" x14ac:dyDescent="0.25">
      <c r="B122" s="11" t="s">
        <v>61</v>
      </c>
      <c r="C122" s="23">
        <v>0.47711173000000001</v>
      </c>
      <c r="D122" s="23">
        <v>0.788133721415191</v>
      </c>
      <c r="AK122" s="11" t="s">
        <v>61</v>
      </c>
      <c r="AL122" s="23">
        <v>1.6134653059999999</v>
      </c>
      <c r="AM122" s="23">
        <v>1.4619348718793299</v>
      </c>
    </row>
    <row r="123" spans="1:39" x14ac:dyDescent="0.25">
      <c r="A123" s="11" t="s">
        <v>57</v>
      </c>
      <c r="B123" s="11" t="s">
        <v>28</v>
      </c>
      <c r="C123" s="23">
        <v>1.8886085E-2</v>
      </c>
      <c r="D123" s="23">
        <v>6.2728808728863106E-2</v>
      </c>
      <c r="AJ123" s="11" t="s">
        <v>58</v>
      </c>
      <c r="AK123" s="11" t="s">
        <v>28</v>
      </c>
      <c r="AL123" s="23">
        <v>3.6295792E-2</v>
      </c>
      <c r="AM123" s="23">
        <v>4.6932293087746102E-2</v>
      </c>
    </row>
    <row r="124" spans="1:39" x14ac:dyDescent="0.25">
      <c r="B124" s="11" t="s">
        <v>26</v>
      </c>
      <c r="C124" s="23">
        <v>0.33509170799999999</v>
      </c>
      <c r="D124" s="23">
        <v>2.17632019801365</v>
      </c>
      <c r="AK124" s="11" t="s">
        <v>26</v>
      </c>
      <c r="AL124" s="23">
        <v>1.9262452249999999</v>
      </c>
      <c r="AM124" s="23">
        <v>0.49057215300933299</v>
      </c>
    </row>
    <row r="125" spans="1:39" x14ac:dyDescent="0.25">
      <c r="B125" s="11" t="s">
        <v>27</v>
      </c>
      <c r="C125" s="23">
        <v>0.39155282400000002</v>
      </c>
      <c r="D125" s="23">
        <v>0.583053202048185</v>
      </c>
      <c r="AK125" s="11" t="s">
        <v>27</v>
      </c>
      <c r="AL125" s="23">
        <v>0.50371898299999995</v>
      </c>
      <c r="AM125" s="23">
        <v>8.7354922479523894E-2</v>
      </c>
    </row>
    <row r="126" spans="1:39" x14ac:dyDescent="0.25">
      <c r="B126" s="11" t="s">
        <v>29</v>
      </c>
      <c r="C126" s="23">
        <v>0.13473972000000001</v>
      </c>
      <c r="D126" s="23">
        <v>1.54947489793819</v>
      </c>
      <c r="AK126" s="11" t="s">
        <v>29</v>
      </c>
      <c r="AL126" s="23">
        <v>0.26025962899999999</v>
      </c>
      <c r="AM126" s="23">
        <v>0.39125008853243198</v>
      </c>
    </row>
    <row r="127" spans="1:39" x14ac:dyDescent="0.25">
      <c r="B127" s="11" t="s">
        <v>30</v>
      </c>
      <c r="C127" s="23">
        <v>0.33371927400000001</v>
      </c>
      <c r="D127" s="23">
        <v>1.2056643044612001</v>
      </c>
      <c r="AK127" s="11" t="s">
        <v>30</v>
      </c>
      <c r="AL127" s="23">
        <v>0.64646191099999994</v>
      </c>
      <c r="AM127" s="23">
        <v>0.27207744588628802</v>
      </c>
    </row>
    <row r="128" spans="1:39" x14ac:dyDescent="0.25">
      <c r="B128" s="11" t="s">
        <v>31</v>
      </c>
      <c r="C128" s="23">
        <v>0.56205881899999999</v>
      </c>
      <c r="D128" s="23">
        <v>5.2589951265075E-2</v>
      </c>
      <c r="AK128" s="11" t="s">
        <v>31</v>
      </c>
      <c r="AL128" s="23">
        <v>1.5586822650000001</v>
      </c>
      <c r="AM128" s="23">
        <v>0.117468398037109</v>
      </c>
    </row>
    <row r="129" spans="2:39" x14ac:dyDescent="0.25">
      <c r="B129" s="11" t="s">
        <v>32</v>
      </c>
      <c r="C129" s="23">
        <v>0.40078387999999998</v>
      </c>
      <c r="D129" s="23">
        <v>1.66663811176448</v>
      </c>
      <c r="AK129" s="11" t="s">
        <v>32</v>
      </c>
      <c r="AL129" s="23">
        <v>0.25696604299999998</v>
      </c>
      <c r="AM129" s="23">
        <v>0.26721768067180401</v>
      </c>
    </row>
    <row r="130" spans="2:39" x14ac:dyDescent="0.25">
      <c r="B130" s="11" t="s">
        <v>33</v>
      </c>
      <c r="C130" s="23">
        <v>4.7192069950000004</v>
      </c>
      <c r="D130" s="23">
        <v>17.817535967431599</v>
      </c>
      <c r="AK130" s="11" t="s">
        <v>33</v>
      </c>
      <c r="AL130" s="23">
        <v>11.413919979999999</v>
      </c>
      <c r="AM130" s="23">
        <v>1.42781245299195</v>
      </c>
    </row>
    <row r="131" spans="2:39" x14ac:dyDescent="0.25">
      <c r="B131" s="11" t="s">
        <v>34</v>
      </c>
      <c r="C131" s="23">
        <v>18.817238740000001</v>
      </c>
      <c r="D131" s="23">
        <v>35.980067051243303</v>
      </c>
      <c r="AK131" s="11" t="s">
        <v>34</v>
      </c>
      <c r="AL131" s="23">
        <v>13.572141970000001</v>
      </c>
      <c r="AM131" s="23">
        <v>0.43554802506367502</v>
      </c>
    </row>
    <row r="132" spans="2:39" x14ac:dyDescent="0.25">
      <c r="B132" s="11" t="s">
        <v>35</v>
      </c>
      <c r="C132" s="23">
        <v>0.90472275599999996</v>
      </c>
      <c r="D132" s="23">
        <v>47.815746090546298</v>
      </c>
      <c r="AK132" s="11" t="s">
        <v>35</v>
      </c>
      <c r="AL132" s="23">
        <v>1.7506344810000001</v>
      </c>
      <c r="AM132" s="23">
        <v>2.5694928424172301</v>
      </c>
    </row>
    <row r="133" spans="2:39" x14ac:dyDescent="0.25">
      <c r="B133" s="11" t="s">
        <v>36</v>
      </c>
      <c r="C133" s="23">
        <v>3.1264438779999999</v>
      </c>
      <c r="D133" s="23">
        <v>49.124280170411197</v>
      </c>
      <c r="AK133" s="11" t="s">
        <v>36</v>
      </c>
      <c r="AL133" s="23">
        <v>22.504298850000001</v>
      </c>
      <c r="AM133" s="23">
        <v>1.2258693998740999</v>
      </c>
    </row>
    <row r="134" spans="2:39" x14ac:dyDescent="0.25">
      <c r="B134" s="11" t="s">
        <v>37</v>
      </c>
      <c r="C134" s="23">
        <v>16.154764369999999</v>
      </c>
      <c r="D134" s="23">
        <v>0.29391228500695599</v>
      </c>
      <c r="AK134" s="11" t="s">
        <v>37</v>
      </c>
      <c r="AL134" s="23">
        <v>43.370161170000003</v>
      </c>
      <c r="AM134" s="23">
        <v>0.65737151327092702</v>
      </c>
    </row>
    <row r="135" spans="2:39" x14ac:dyDescent="0.25">
      <c r="B135" s="11" t="s">
        <v>38</v>
      </c>
      <c r="C135" s="23">
        <v>7.4001877999999993E-2</v>
      </c>
      <c r="D135" s="23">
        <v>9.2495989129158199E-2</v>
      </c>
      <c r="AK135" s="11" t="s">
        <v>38</v>
      </c>
      <c r="AL135" s="23">
        <v>0.14278380399999999</v>
      </c>
      <c r="AM135" s="23">
        <v>0.20563760795517499</v>
      </c>
    </row>
    <row r="136" spans="2:39" x14ac:dyDescent="0.25">
      <c r="B136" s="11" t="s">
        <v>39</v>
      </c>
      <c r="C136" s="23">
        <v>0.66991274499999998</v>
      </c>
      <c r="D136" s="23">
        <v>1.75521403649992</v>
      </c>
      <c r="AK136" s="11" t="s">
        <v>39</v>
      </c>
      <c r="AL136" s="23">
        <v>1.2883232069999999</v>
      </c>
      <c r="AM136" s="23">
        <v>1.9717840152784101</v>
      </c>
    </row>
    <row r="137" spans="2:39" x14ac:dyDescent="0.25">
      <c r="B137" s="11" t="s">
        <v>40</v>
      </c>
      <c r="C137" s="23">
        <v>1.046205506</v>
      </c>
      <c r="D137" s="23">
        <v>1.8747230206788501</v>
      </c>
      <c r="AK137" s="11" t="s">
        <v>40</v>
      </c>
      <c r="AL137" s="23">
        <v>1.015833115</v>
      </c>
      <c r="AM137" s="23">
        <v>0.84698403118651799</v>
      </c>
    </row>
    <row r="138" spans="2:39" x14ac:dyDescent="0.25">
      <c r="B138" s="11" t="s">
        <v>41</v>
      </c>
      <c r="C138" s="23">
        <v>0.53507814300000001</v>
      </c>
      <c r="D138" s="23">
        <v>0.91764795325770199</v>
      </c>
      <c r="AK138" s="11" t="s">
        <v>41</v>
      </c>
      <c r="AL138" s="23">
        <v>1.0305781620000001</v>
      </c>
      <c r="AM138" s="23">
        <v>2.0521436175897398</v>
      </c>
    </row>
    <row r="139" spans="2:39" x14ac:dyDescent="0.25">
      <c r="B139" s="11" t="s">
        <v>42</v>
      </c>
      <c r="C139" s="23">
        <v>0.33535709200000002</v>
      </c>
      <c r="D139" s="23">
        <v>1.1991663089503499</v>
      </c>
      <c r="AK139" s="11" t="s">
        <v>42</v>
      </c>
      <c r="AL139" s="23">
        <v>1.3050026669999999</v>
      </c>
      <c r="AM139" s="23">
        <v>1.3429795951312</v>
      </c>
    </row>
    <row r="140" spans="2:39" ht="15.75" x14ac:dyDescent="0.25">
      <c r="B140" s="60" t="s">
        <v>60</v>
      </c>
      <c r="C140" s="23">
        <v>0.62879797500000001</v>
      </c>
      <c r="D140" s="23">
        <v>0.56045749986584903</v>
      </c>
      <c r="AK140" s="60" t="s">
        <v>60</v>
      </c>
      <c r="AL140" s="23">
        <v>4.2354755089999996</v>
      </c>
      <c r="AM140" s="23">
        <v>1.25031589075728</v>
      </c>
    </row>
    <row r="146" spans="1:39" x14ac:dyDescent="0.25">
      <c r="A146" s="11" t="s">
        <v>12</v>
      </c>
      <c r="B146" s="11" t="s">
        <v>0</v>
      </c>
      <c r="C146" s="11">
        <v>2019</v>
      </c>
      <c r="D146" s="11">
        <v>2010</v>
      </c>
      <c r="AJ146" s="11" t="s">
        <v>12</v>
      </c>
      <c r="AK146" s="11" t="s">
        <v>0</v>
      </c>
      <c r="AL146" s="11">
        <v>2019</v>
      </c>
      <c r="AM146" s="11">
        <v>2010</v>
      </c>
    </row>
    <row r="147" spans="1:39" x14ac:dyDescent="0.25">
      <c r="A147" s="11" t="s">
        <v>51</v>
      </c>
      <c r="B147" s="11" t="s">
        <v>28</v>
      </c>
      <c r="C147" s="23">
        <v>0.15560755900000001</v>
      </c>
      <c r="D147" s="23">
        <v>0.143508391888475</v>
      </c>
      <c r="AJ147" s="11" t="s">
        <v>53</v>
      </c>
      <c r="AK147" s="11" t="s">
        <v>28</v>
      </c>
      <c r="AL147" s="23">
        <v>0.32713009599999998</v>
      </c>
      <c r="AM147" s="23">
        <v>0.132732088210501</v>
      </c>
    </row>
    <row r="148" spans="1:39" x14ac:dyDescent="0.25">
      <c r="B148" s="11" t="s">
        <v>26</v>
      </c>
      <c r="C148" s="23">
        <v>0.55144163199999996</v>
      </c>
      <c r="D148" s="23">
        <v>1.02142105738495</v>
      </c>
      <c r="AK148" s="11" t="s">
        <v>26</v>
      </c>
      <c r="AL148" s="23">
        <v>0.29202813900000002</v>
      </c>
      <c r="AM148" s="23">
        <v>11.108919556768299</v>
      </c>
    </row>
    <row r="149" spans="1:39" x14ac:dyDescent="0.25">
      <c r="B149" s="11" t="s">
        <v>27</v>
      </c>
      <c r="C149" s="23">
        <v>8.9564299999999996E-3</v>
      </c>
      <c r="D149" s="23">
        <v>0.114771901676002</v>
      </c>
      <c r="AK149" s="11" t="s">
        <v>27</v>
      </c>
      <c r="AL149" s="23">
        <v>5.6855304000000002E-2</v>
      </c>
      <c r="AM149" s="23">
        <v>1.3175497134432801</v>
      </c>
    </row>
    <row r="150" spans="1:39" x14ac:dyDescent="0.25">
      <c r="B150" s="11" t="s">
        <v>29</v>
      </c>
      <c r="C150" s="23">
        <v>0.74269249500000001</v>
      </c>
      <c r="D150" s="23">
        <v>0.556034494947933</v>
      </c>
      <c r="AK150" s="11" t="s">
        <v>29</v>
      </c>
      <c r="AL150" s="23">
        <v>5.3756201990000001</v>
      </c>
      <c r="AM150" s="23">
        <v>54.688387332198801</v>
      </c>
    </row>
    <row r="151" spans="1:39" x14ac:dyDescent="0.25">
      <c r="B151" s="11" t="s">
        <v>30</v>
      </c>
      <c r="C151" s="23">
        <v>0.29265619500000001</v>
      </c>
      <c r="D151" s="23">
        <v>5.9692758954835203E-2</v>
      </c>
      <c r="AK151" s="11" t="s">
        <v>30</v>
      </c>
      <c r="AL151" s="23">
        <v>3.264825578</v>
      </c>
      <c r="AM151" s="23">
        <v>3.8472511411925598</v>
      </c>
    </row>
    <row r="152" spans="1:39" x14ac:dyDescent="0.25">
      <c r="B152" s="11" t="s">
        <v>31</v>
      </c>
      <c r="C152" s="23">
        <v>9.6229450000000008E-3</v>
      </c>
      <c r="D152" s="23">
        <v>1.2744107978332199E-2</v>
      </c>
      <c r="AK152" s="11" t="s">
        <v>31</v>
      </c>
      <c r="AL152" s="23">
        <v>6.1265633E-2</v>
      </c>
      <c r="AM152" s="23">
        <v>0.10987766899173899</v>
      </c>
    </row>
    <row r="153" spans="1:39" x14ac:dyDescent="0.25">
      <c r="B153" s="11" t="s">
        <v>32</v>
      </c>
      <c r="C153" s="23">
        <v>7.3659905999999997E-2</v>
      </c>
      <c r="D153" s="23">
        <v>5.8796504869909498E-2</v>
      </c>
      <c r="AK153" s="11" t="s">
        <v>32</v>
      </c>
      <c r="AL153" s="23">
        <v>0.23308011200000001</v>
      </c>
      <c r="AM153" s="23">
        <v>0.24946721350882001</v>
      </c>
    </row>
    <row r="154" spans="1:39" x14ac:dyDescent="0.25">
      <c r="B154" s="11" t="s">
        <v>33</v>
      </c>
      <c r="C154" s="23">
        <v>0.32515724800000001</v>
      </c>
      <c r="D154" s="23">
        <v>0.155476870496467</v>
      </c>
      <c r="AK154" s="11" t="s">
        <v>33</v>
      </c>
      <c r="AL154" s="23">
        <v>1.0318223280000001</v>
      </c>
      <c r="AM154" s="23">
        <v>5.3556728810354999</v>
      </c>
    </row>
    <row r="155" spans="1:39" x14ac:dyDescent="0.25">
      <c r="B155" s="11" t="s">
        <v>34</v>
      </c>
      <c r="C155" s="23">
        <v>4.7041265999999998E-2</v>
      </c>
      <c r="D155" s="23">
        <v>4.7163623028982499E-2</v>
      </c>
      <c r="AK155" s="11" t="s">
        <v>34</v>
      </c>
      <c r="AL155" s="23">
        <v>0.29931872799999998</v>
      </c>
      <c r="AM155" s="23">
        <v>0.40705399147601801</v>
      </c>
    </row>
    <row r="156" spans="1:39" x14ac:dyDescent="0.25">
      <c r="B156" s="11" t="s">
        <v>35</v>
      </c>
      <c r="C156" s="23">
        <v>0.50084140600000004</v>
      </c>
      <c r="D156" s="23">
        <v>0.56455739299676899</v>
      </c>
      <c r="AK156" s="11" t="s">
        <v>35</v>
      </c>
      <c r="AL156" s="23">
        <v>1.5864949779999999</v>
      </c>
      <c r="AM156" s="23">
        <v>19.399222808891</v>
      </c>
    </row>
    <row r="157" spans="1:39" x14ac:dyDescent="0.25">
      <c r="B157" s="11" t="s">
        <v>36</v>
      </c>
      <c r="C157" s="23">
        <v>0.12329364800000001</v>
      </c>
      <c r="D157" s="23">
        <v>0.13351365702005599</v>
      </c>
      <c r="AK157" s="11" t="s">
        <v>36</v>
      </c>
      <c r="AL157" s="23">
        <v>1.557643117</v>
      </c>
      <c r="AM157" s="23">
        <v>1.1489884179569001</v>
      </c>
    </row>
    <row r="158" spans="1:39" x14ac:dyDescent="0.25">
      <c r="B158" s="11" t="s">
        <v>37</v>
      </c>
      <c r="C158" s="23">
        <v>5.6127631999999997E-2</v>
      </c>
      <c r="D158" s="23">
        <v>7.1149928492666006E-2</v>
      </c>
      <c r="AK158" s="11" t="s">
        <v>37</v>
      </c>
      <c r="AL158" s="23">
        <v>0.35574931300000001</v>
      </c>
      <c r="AM158" s="23">
        <v>0.60957559991002797</v>
      </c>
    </row>
    <row r="159" spans="1:39" x14ac:dyDescent="0.25">
      <c r="B159" s="11" t="s">
        <v>38</v>
      </c>
      <c r="C159" s="23">
        <v>1.364026959</v>
      </c>
      <c r="D159" s="23">
        <v>2.50117429508385</v>
      </c>
      <c r="AK159" s="11" t="s">
        <v>38</v>
      </c>
      <c r="AL159" s="23">
        <v>1.024596566</v>
      </c>
      <c r="AM159" s="23">
        <v>1.93640506988715</v>
      </c>
    </row>
    <row r="160" spans="1:39" x14ac:dyDescent="0.25">
      <c r="B160" s="11" t="s">
        <v>39</v>
      </c>
      <c r="C160" s="23">
        <v>3.860235254</v>
      </c>
      <c r="D160" s="23">
        <v>7.0921077154261702</v>
      </c>
      <c r="AK160" s="11" t="s">
        <v>39</v>
      </c>
      <c r="AL160" s="23">
        <v>6.9179494129999997</v>
      </c>
      <c r="AM160" s="23">
        <v>100.059957197671</v>
      </c>
    </row>
    <row r="161" spans="1:39" x14ac:dyDescent="0.25">
      <c r="B161" s="11" t="s">
        <v>40</v>
      </c>
      <c r="C161" s="23">
        <v>0.359585559</v>
      </c>
      <c r="D161" s="23">
        <v>2.4987687918769299</v>
      </c>
      <c r="AK161" s="11" t="s">
        <v>40</v>
      </c>
      <c r="AL161" s="23">
        <v>1.3624088139999999</v>
      </c>
      <c r="AM161" s="23">
        <v>26.344354255673299</v>
      </c>
    </row>
    <row r="162" spans="1:39" x14ac:dyDescent="0.25">
      <c r="B162" s="11" t="s">
        <v>41</v>
      </c>
      <c r="C162" s="23">
        <v>4.1319004149999996</v>
      </c>
      <c r="D162" s="23">
        <v>2.9150820671323401</v>
      </c>
      <c r="AK162" s="11" t="s">
        <v>41</v>
      </c>
      <c r="AL162" s="23">
        <v>26.941773359999999</v>
      </c>
      <c r="AM162" s="23">
        <v>909.20228498706797</v>
      </c>
    </row>
    <row r="163" spans="1:39" x14ac:dyDescent="0.25">
      <c r="B163" s="11" t="s">
        <v>42</v>
      </c>
      <c r="C163" s="23">
        <v>1.481907954</v>
      </c>
      <c r="D163" s="23">
        <v>0.44119307338018099</v>
      </c>
      <c r="AK163" s="11" t="s">
        <v>42</v>
      </c>
      <c r="AL163" s="23">
        <v>17.37609363</v>
      </c>
      <c r="AM163" s="23">
        <v>30.334773037283</v>
      </c>
    </row>
    <row r="164" spans="1:39" x14ac:dyDescent="0.25">
      <c r="B164" s="11" t="s">
        <v>61</v>
      </c>
      <c r="C164" s="23">
        <v>0.17359089999999999</v>
      </c>
      <c r="D164" s="23">
        <v>0.13525359091115299</v>
      </c>
      <c r="AK164" s="11" t="s">
        <v>61</v>
      </c>
      <c r="AL164" s="23">
        <v>1.093933544</v>
      </c>
      <c r="AM164" s="23">
        <v>1.1589378047521799</v>
      </c>
    </row>
    <row r="165" spans="1:39" x14ac:dyDescent="0.25">
      <c r="A165" s="11" t="s">
        <v>52</v>
      </c>
      <c r="B165" s="11" t="s">
        <v>28</v>
      </c>
      <c r="C165" s="23">
        <v>0.13054933199999999</v>
      </c>
      <c r="D165" s="23">
        <v>0.22305674625059599</v>
      </c>
      <c r="AJ165" s="11" t="s">
        <v>54</v>
      </c>
      <c r="AK165" s="11" t="s">
        <v>28</v>
      </c>
      <c r="AL165" s="23">
        <v>0.16357005499999999</v>
      </c>
      <c r="AM165" s="23">
        <v>4.0473326283151402E-2</v>
      </c>
    </row>
    <row r="166" spans="1:39" x14ac:dyDescent="0.25">
      <c r="B166" s="11" t="s">
        <v>26</v>
      </c>
      <c r="C166" s="23">
        <v>12.09705222</v>
      </c>
      <c r="D166" s="23">
        <v>16.743983046358998</v>
      </c>
      <c r="AK166" s="11" t="s">
        <v>26</v>
      </c>
      <c r="AL166" s="23">
        <v>6.5954390180000004</v>
      </c>
      <c r="AM166" s="23">
        <v>2.55573075869223</v>
      </c>
    </row>
    <row r="167" spans="1:39" x14ac:dyDescent="0.25">
      <c r="B167" s="11" t="s">
        <v>27</v>
      </c>
      <c r="C167" s="23">
        <v>0.280392158</v>
      </c>
      <c r="D167" s="23">
        <v>0.76334359618947101</v>
      </c>
      <c r="AK167" s="11" t="s">
        <v>27</v>
      </c>
      <c r="AL167" s="23">
        <v>0.192207512</v>
      </c>
      <c r="AM167" s="23">
        <v>0.98517803682803795</v>
      </c>
    </row>
    <row r="168" spans="1:39" x14ac:dyDescent="0.25">
      <c r="B168" s="11" t="s">
        <v>29</v>
      </c>
      <c r="C168" s="23">
        <v>0.46723862399999999</v>
      </c>
      <c r="D168" s="23">
        <v>15.758686942243401</v>
      </c>
      <c r="AK168" s="11" t="s">
        <v>29</v>
      </c>
      <c r="AL168" s="23">
        <v>1.1657437509999999</v>
      </c>
      <c r="AM168" s="23">
        <v>3.3503420930100298</v>
      </c>
    </row>
    <row r="169" spans="1:39" x14ac:dyDescent="0.25">
      <c r="B169" s="11" t="s">
        <v>30</v>
      </c>
      <c r="C169" s="23">
        <v>9.3366127510000005</v>
      </c>
      <c r="D169" s="23">
        <v>1.94312088158146</v>
      </c>
      <c r="AK169" s="11" t="s">
        <v>30</v>
      </c>
      <c r="AL169" s="23">
        <v>28.212704429999999</v>
      </c>
      <c r="AM169" s="23">
        <v>3.2989922091491901</v>
      </c>
    </row>
    <row r="170" spans="1:39" x14ac:dyDescent="0.25">
      <c r="B170" s="11" t="s">
        <v>31</v>
      </c>
      <c r="C170" s="23">
        <v>0.35929286599999999</v>
      </c>
      <c r="D170" s="23">
        <v>9.40617773573591E-2</v>
      </c>
      <c r="AK170" s="11" t="s">
        <v>31</v>
      </c>
      <c r="AL170" s="23">
        <v>1.4781424240000001</v>
      </c>
      <c r="AM170" s="23">
        <v>0.101348908992413</v>
      </c>
    </row>
    <row r="171" spans="1:39" x14ac:dyDescent="0.25">
      <c r="B171" s="11" t="s">
        <v>32</v>
      </c>
      <c r="C171" s="23">
        <v>0.23131492400000001</v>
      </c>
      <c r="D171" s="23">
        <v>0.21316229694052199</v>
      </c>
      <c r="AK171" s="11" t="s">
        <v>32</v>
      </c>
      <c r="AL171" s="23">
        <v>0.195272948</v>
      </c>
      <c r="AM171" s="23">
        <v>0.231903934802902</v>
      </c>
    </row>
    <row r="172" spans="1:39" x14ac:dyDescent="0.25">
      <c r="B172" s="11" t="s">
        <v>33</v>
      </c>
      <c r="C172" s="23">
        <v>2.04004026</v>
      </c>
      <c r="D172" s="23">
        <v>2.2843940724944498</v>
      </c>
      <c r="AK172" s="11" t="s">
        <v>33</v>
      </c>
      <c r="AL172" s="23">
        <v>3.4844570130000001</v>
      </c>
      <c r="AM172" s="23">
        <v>1.2431928211129999</v>
      </c>
    </row>
    <row r="173" spans="1:39" x14ac:dyDescent="0.25">
      <c r="B173" s="11" t="s">
        <v>34</v>
      </c>
      <c r="C173" s="23">
        <v>0.29566025800000001</v>
      </c>
      <c r="D173" s="23">
        <v>1.03510096365549</v>
      </c>
      <c r="AK173" s="11" t="s">
        <v>34</v>
      </c>
      <c r="AL173" s="23">
        <v>0.25015441300000002</v>
      </c>
      <c r="AM173" s="23">
        <v>0.37758846976149602</v>
      </c>
    </row>
    <row r="174" spans="1:39" x14ac:dyDescent="0.25">
      <c r="B174" s="11" t="s">
        <v>35</v>
      </c>
      <c r="C174" s="23">
        <v>1.569571042</v>
      </c>
      <c r="D174" s="23">
        <v>8.1099197344693792</v>
      </c>
      <c r="AK174" s="11" t="s">
        <v>35</v>
      </c>
      <c r="AL174" s="23">
        <v>1.3306311639999999</v>
      </c>
      <c r="AM174" s="23">
        <v>2.2150299216417202</v>
      </c>
    </row>
    <row r="175" spans="1:39" x14ac:dyDescent="0.25">
      <c r="B175" s="11" t="s">
        <v>36</v>
      </c>
      <c r="C175" s="23">
        <v>3.1169597420000001</v>
      </c>
      <c r="D175" s="23">
        <v>0.97872263826573802</v>
      </c>
      <c r="J175" s="11" t="s">
        <v>67</v>
      </c>
      <c r="AK175" s="11" t="s">
        <v>36</v>
      </c>
      <c r="AL175" s="23">
        <v>6.5322822189999998</v>
      </c>
      <c r="AM175" s="23">
        <v>1.06327115226862</v>
      </c>
    </row>
    <row r="176" spans="1:39" x14ac:dyDescent="0.25">
      <c r="B176" s="11" t="s">
        <v>37</v>
      </c>
      <c r="C176" s="23">
        <v>0.35213897199999999</v>
      </c>
      <c r="D176" s="23">
        <v>0.521705786167595</v>
      </c>
      <c r="AK176" s="11" t="s">
        <v>37</v>
      </c>
      <c r="AL176" s="23">
        <v>0.59308306700000002</v>
      </c>
      <c r="AM176" s="23">
        <v>0.56270141485134695</v>
      </c>
    </row>
    <row r="177" spans="1:39" x14ac:dyDescent="0.25">
      <c r="B177" s="11" t="s">
        <v>38</v>
      </c>
      <c r="C177" s="23">
        <v>2.1715942529999999</v>
      </c>
      <c r="D177" s="23">
        <v>6.7002809067631901</v>
      </c>
      <c r="AK177" s="11" t="s">
        <v>38</v>
      </c>
      <c r="AL177" s="23">
        <v>1.0805951549999999</v>
      </c>
      <c r="AM177" s="23">
        <v>0.35764111330466097</v>
      </c>
    </row>
    <row r="178" spans="1:39" x14ac:dyDescent="0.25">
      <c r="B178" s="11" t="s">
        <v>39</v>
      </c>
      <c r="C178" s="23">
        <v>148.50305349999999</v>
      </c>
      <c r="D178" s="23">
        <v>257.09414641829699</v>
      </c>
      <c r="J178" s="11" t="s">
        <v>66</v>
      </c>
      <c r="K178" s="11">
        <v>909.2</v>
      </c>
      <c r="L178" s="11" t="s">
        <v>63</v>
      </c>
      <c r="AK178" s="11" t="s">
        <v>39</v>
      </c>
      <c r="AL178" s="23">
        <v>62.382712679999997</v>
      </c>
      <c r="AM178" s="23">
        <v>18.7001934983921</v>
      </c>
    </row>
    <row r="179" spans="1:39" x14ac:dyDescent="0.25">
      <c r="B179" s="11" t="s">
        <v>40</v>
      </c>
      <c r="C179" s="23">
        <v>18.898145929999998</v>
      </c>
      <c r="D179" s="23">
        <v>28.208122388444199</v>
      </c>
      <c r="J179" s="11" t="s">
        <v>64</v>
      </c>
      <c r="K179" s="11">
        <v>769.6</v>
      </c>
      <c r="L179" s="11" t="s">
        <v>65</v>
      </c>
      <c r="AK179" s="11" t="s">
        <v>40</v>
      </c>
      <c r="AL179" s="23">
        <v>4.5489028669999998</v>
      </c>
      <c r="AM179" s="23">
        <v>16.868433558266801</v>
      </c>
    </row>
    <row r="180" spans="1:39" x14ac:dyDescent="0.25">
      <c r="B180" s="11" t="s">
        <v>41</v>
      </c>
      <c r="C180" s="23">
        <v>10.150962140000001</v>
      </c>
      <c r="D180" s="23">
        <v>139.37799376678001</v>
      </c>
      <c r="AK180" s="11" t="s">
        <v>41</v>
      </c>
      <c r="AL180" s="23">
        <v>16.384288890000001</v>
      </c>
      <c r="AM180" s="23">
        <v>45.864572669483302</v>
      </c>
    </row>
    <row r="181" spans="1:39" x14ac:dyDescent="0.25">
      <c r="B181" s="11" t="s">
        <v>42</v>
      </c>
      <c r="C181" s="23">
        <v>58.910236429999998</v>
      </c>
      <c r="D181" s="23">
        <v>10.6286738798945</v>
      </c>
      <c r="J181" s="11" t="s">
        <v>68</v>
      </c>
      <c r="K181" s="11">
        <v>293.10000000000002</v>
      </c>
      <c r="L181" s="11" t="s">
        <v>69</v>
      </c>
      <c r="AK181" s="11" t="s">
        <v>42</v>
      </c>
      <c r="AL181" s="23">
        <v>293.1231009</v>
      </c>
      <c r="AM181" s="23">
        <v>75.7342739411379</v>
      </c>
    </row>
    <row r="182" spans="1:39" x14ac:dyDescent="0.25">
      <c r="B182" s="11" t="s">
        <v>61</v>
      </c>
      <c r="C182" s="23">
        <v>9.7672518729999993</v>
      </c>
      <c r="D182" s="23">
        <v>0.99986828174681297</v>
      </c>
      <c r="J182" s="11" t="s">
        <v>70</v>
      </c>
      <c r="K182" s="11">
        <v>75.7</v>
      </c>
      <c r="L182" s="11" t="s">
        <v>69</v>
      </c>
      <c r="AK182" s="11" t="s">
        <v>61</v>
      </c>
      <c r="AL182" s="23">
        <v>14.629945019999999</v>
      </c>
      <c r="AM182" s="23">
        <v>1.0787693508574501</v>
      </c>
    </row>
    <row r="183" spans="1:39" x14ac:dyDescent="0.25">
      <c r="A183" s="11" t="s">
        <v>59</v>
      </c>
      <c r="B183" s="11" t="s">
        <v>28</v>
      </c>
      <c r="C183" s="23">
        <v>3.3160948000000003E-2</v>
      </c>
      <c r="D183" s="23">
        <v>0.35062441567372199</v>
      </c>
      <c r="AJ183" s="11" t="s">
        <v>62</v>
      </c>
      <c r="AK183" s="11" t="s">
        <v>28</v>
      </c>
      <c r="AL183" s="23">
        <v>4.4817343000000003E-2</v>
      </c>
      <c r="AM183" s="23">
        <v>6.6578731007080394E-2</v>
      </c>
    </row>
    <row r="184" spans="1:39" x14ac:dyDescent="0.25">
      <c r="B184" s="11" t="s">
        <v>26</v>
      </c>
      <c r="C184" s="23">
        <v>1.1920628419999999</v>
      </c>
      <c r="D184" s="23">
        <v>3.2254464481573399</v>
      </c>
      <c r="J184" s="11" t="s">
        <v>71</v>
      </c>
      <c r="K184" s="11">
        <v>226.8</v>
      </c>
      <c r="L184" s="11" t="s">
        <v>72</v>
      </c>
      <c r="AK184" s="11" t="s">
        <v>26</v>
      </c>
      <c r="AL184" s="23">
        <v>0.79776576799999999</v>
      </c>
      <c r="AM184" s="23">
        <v>0.69943692888451003</v>
      </c>
    </row>
    <row r="185" spans="1:39" x14ac:dyDescent="0.25">
      <c r="B185" s="11" t="s">
        <v>27</v>
      </c>
      <c r="C185" s="23">
        <v>0.92335421100000004</v>
      </c>
      <c r="D185" s="23">
        <v>3.5882880729748901</v>
      </c>
      <c r="J185" s="11" t="s">
        <v>73</v>
      </c>
      <c r="K185" s="11">
        <v>133.4</v>
      </c>
      <c r="L185" s="11" t="s">
        <v>72</v>
      </c>
      <c r="AK185" s="11" t="s">
        <v>27</v>
      </c>
      <c r="AL185" s="23">
        <v>0.92990896700000003</v>
      </c>
      <c r="AM185" s="23">
        <v>0.12454342968953599</v>
      </c>
    </row>
    <row r="186" spans="1:39" x14ac:dyDescent="0.25">
      <c r="B186" s="11" t="s">
        <v>29</v>
      </c>
      <c r="C186" s="23">
        <v>0.237980265</v>
      </c>
      <c r="D186" s="23">
        <v>7.6625381581934997</v>
      </c>
      <c r="AK186" s="11" t="s">
        <v>29</v>
      </c>
      <c r="AL186" s="23">
        <v>0.32167416300000001</v>
      </c>
      <c r="AM186" s="23">
        <v>0.553075199944847</v>
      </c>
    </row>
    <row r="187" spans="1:39" x14ac:dyDescent="0.25">
      <c r="B187" s="11" t="s">
        <v>30</v>
      </c>
      <c r="C187" s="23">
        <v>0.72461527199999998</v>
      </c>
      <c r="D187" s="23">
        <v>4.0561688556896396</v>
      </c>
      <c r="J187" s="11" t="s">
        <v>74</v>
      </c>
      <c r="K187" s="11">
        <v>116.9</v>
      </c>
      <c r="L187" s="11" t="s">
        <v>75</v>
      </c>
      <c r="AK187" s="11" t="s">
        <v>30</v>
      </c>
      <c r="AL187" s="23">
        <v>2.3317240780000001</v>
      </c>
      <c r="AM187" s="23">
        <v>0.38698336149235601</v>
      </c>
    </row>
    <row r="188" spans="1:39" x14ac:dyDescent="0.25">
      <c r="B188" s="11" t="s">
        <v>31</v>
      </c>
      <c r="C188" s="23">
        <v>1.23919976</v>
      </c>
      <c r="D188" s="23">
        <v>0.110408928309649</v>
      </c>
      <c r="J188" s="11" t="s">
        <v>76</v>
      </c>
      <c r="K188" s="11">
        <v>48.6</v>
      </c>
      <c r="L188" s="11" t="s">
        <v>75</v>
      </c>
      <c r="AK188" s="11" t="s">
        <v>31</v>
      </c>
      <c r="AL188" s="23">
        <v>3.5865437500000001</v>
      </c>
      <c r="AM188" s="23">
        <v>0.167178274726556</v>
      </c>
    </row>
    <row r="189" spans="1:39" x14ac:dyDescent="0.25">
      <c r="B189" s="11" t="s">
        <v>32</v>
      </c>
      <c r="C189" s="23">
        <v>0.23465851400000001</v>
      </c>
      <c r="D189" s="23">
        <v>0.25004834303829598</v>
      </c>
      <c r="AK189" s="11" t="s">
        <v>32</v>
      </c>
      <c r="AL189" s="23">
        <v>0.31798094900000001</v>
      </c>
      <c r="AM189" s="23">
        <v>0.38015852341265399</v>
      </c>
    </row>
    <row r="190" spans="1:39" x14ac:dyDescent="0.25">
      <c r="B190" s="11" t="s">
        <v>33</v>
      </c>
      <c r="C190" s="23">
        <v>1.037292654</v>
      </c>
      <c r="D190" s="23">
        <v>2.67614120890615</v>
      </c>
      <c r="AK190" s="11" t="s">
        <v>33</v>
      </c>
      <c r="AL190" s="23">
        <v>1.402728784</v>
      </c>
      <c r="AM190" s="23">
        <v>2.0418028695307999</v>
      </c>
    </row>
    <row r="191" spans="1:39" x14ac:dyDescent="0.25">
      <c r="B191" s="11" t="s">
        <v>34</v>
      </c>
      <c r="C191" s="23">
        <v>1.2082576140000001</v>
      </c>
      <c r="D191" s="23">
        <v>2.4343117556463598</v>
      </c>
      <c r="AK191" s="11" t="s">
        <v>34</v>
      </c>
      <c r="AL191" s="23">
        <v>0.81632108699999995</v>
      </c>
      <c r="AM191" s="23">
        <v>0.61725522795676202</v>
      </c>
    </row>
    <row r="192" spans="1:39" x14ac:dyDescent="0.25">
      <c r="B192" s="11" t="s">
        <v>35</v>
      </c>
      <c r="C192" s="23">
        <v>1.6001545530000001</v>
      </c>
      <c r="D192" s="23">
        <v>11.9032568541024</v>
      </c>
      <c r="AK192" s="11" t="s">
        <v>35</v>
      </c>
      <c r="AL192" s="23">
        <v>2.163622245</v>
      </c>
      <c r="AM192" s="23">
        <v>3.6385708389593798</v>
      </c>
    </row>
    <row r="193" spans="2:39" x14ac:dyDescent="0.25">
      <c r="B193" s="11" t="s">
        <v>36</v>
      </c>
      <c r="C193" s="23">
        <v>0.78762139600000003</v>
      </c>
      <c r="D193" s="23">
        <v>4.5604160686300803</v>
      </c>
      <c r="AK193" s="11" t="s">
        <v>36</v>
      </c>
      <c r="AL193" s="23">
        <v>2.1319538069999999</v>
      </c>
      <c r="AM193" s="23">
        <v>1.74707603824212</v>
      </c>
    </row>
    <row r="194" spans="2:39" x14ac:dyDescent="0.25">
      <c r="B194" s="11" t="s">
        <v>37</v>
      </c>
      <c r="C194" s="23">
        <v>1.0819732230000001</v>
      </c>
      <c r="D194" s="23">
        <v>0.61067255428331102</v>
      </c>
      <c r="AK194" s="11" t="s">
        <v>37</v>
      </c>
      <c r="AL194" s="23">
        <v>2.8942604689999998</v>
      </c>
      <c r="AM194" s="23">
        <v>0.92973648882204696</v>
      </c>
    </row>
    <row r="195" spans="2:39" x14ac:dyDescent="0.25">
      <c r="B195" s="11" t="s">
        <v>38</v>
      </c>
      <c r="C195" s="23">
        <v>0.39245900700000003</v>
      </c>
      <c r="D195" s="23">
        <v>4.9884741675704598</v>
      </c>
      <c r="AK195" s="11" t="s">
        <v>38</v>
      </c>
      <c r="AL195" s="23">
        <v>0.176202887</v>
      </c>
      <c r="AM195" s="23">
        <v>0.29493921603224799</v>
      </c>
    </row>
    <row r="196" spans="2:39" x14ac:dyDescent="0.25">
      <c r="B196" s="11" t="s">
        <v>39</v>
      </c>
      <c r="C196" s="23">
        <v>18.98304834</v>
      </c>
      <c r="D196" s="23">
        <v>51.346541046699102</v>
      </c>
      <c r="AK196" s="11" t="s">
        <v>39</v>
      </c>
      <c r="AL196" s="23">
        <v>15.934541830000001</v>
      </c>
      <c r="AM196" s="23">
        <v>2.7920092862748498</v>
      </c>
    </row>
    <row r="197" spans="2:39" x14ac:dyDescent="0.25">
      <c r="B197" s="11" t="s">
        <v>40</v>
      </c>
      <c r="C197" s="23">
        <v>44.393161020000001</v>
      </c>
      <c r="D197" s="23">
        <v>76.647345564199895</v>
      </c>
      <c r="AK197" s="11" t="s">
        <v>40</v>
      </c>
      <c r="AL197" s="23">
        <v>16.807123449999999</v>
      </c>
      <c r="AM197" s="23">
        <v>1.2046046037607201</v>
      </c>
    </row>
    <row r="198" spans="2:39" x14ac:dyDescent="0.25">
      <c r="B198" s="11" t="s">
        <v>41</v>
      </c>
      <c r="C198" s="23">
        <v>1.9041369909999999</v>
      </c>
      <c r="D198" s="23">
        <v>85.714976358940007</v>
      </c>
      <c r="AK198" s="11" t="s">
        <v>41</v>
      </c>
      <c r="AL198" s="23">
        <v>2.5626404410000001</v>
      </c>
      <c r="AM198" s="23">
        <v>2.9133311239189901</v>
      </c>
    </row>
    <row r="199" spans="2:39" x14ac:dyDescent="0.25">
      <c r="B199" s="11" t="s">
        <v>42</v>
      </c>
      <c r="C199" s="23">
        <v>5.9493580850000001</v>
      </c>
      <c r="D199" s="23">
        <v>42.563923833022201</v>
      </c>
      <c r="AK199" s="11" t="s">
        <v>42</v>
      </c>
      <c r="AL199" s="23">
        <v>14.43741775</v>
      </c>
      <c r="AM199" s="23">
        <v>1.91416250766381</v>
      </c>
    </row>
    <row r="200" spans="2:39" ht="15.75" x14ac:dyDescent="0.25">
      <c r="B200" s="60" t="s">
        <v>60</v>
      </c>
      <c r="C200" s="23">
        <v>18.900157220000001</v>
      </c>
      <c r="D200" s="23">
        <v>1.16911770876606</v>
      </c>
      <c r="AK200" s="60" t="s">
        <v>60</v>
      </c>
      <c r="AL200" s="23">
        <v>55.439358599999998</v>
      </c>
      <c r="AM200" s="23">
        <v>1.76848502460492</v>
      </c>
    </row>
  </sheetData>
  <mergeCells count="20"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</mergeCells>
  <conditionalFormatting sqref="C29">
    <cfRule type="cellIs" dxfId="33" priority="31" operator="equal">
      <formula>$E$25</formula>
    </cfRule>
  </conditionalFormatting>
  <conditionalFormatting sqref="C47">
    <cfRule type="cellIs" dxfId="32" priority="30" operator="equal">
      <formula>$E$25</formula>
    </cfRule>
  </conditionalFormatting>
  <conditionalFormatting sqref="C65">
    <cfRule type="cellIs" dxfId="31" priority="29" operator="equal">
      <formula>$E$25</formula>
    </cfRule>
  </conditionalFormatting>
  <conditionalFormatting sqref="E5:E7 E9:E22">
    <cfRule type="cellIs" dxfId="30" priority="32" operator="equal">
      <formula>$E$25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EA17-6F35-4910-BF8D-A94867E2AB07}">
  <dimension ref="A1:Y25"/>
  <sheetViews>
    <sheetView showGridLines="0" workbookViewId="0">
      <selection activeCell="J48" sqref="J48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16384" width="9.140625" style="11"/>
  </cols>
  <sheetData>
    <row r="1" spans="1:25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Y1" s="11" t="s">
        <v>17</v>
      </c>
    </row>
    <row r="2" spans="1:25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</row>
    <row r="3" spans="1:25" ht="15.75" x14ac:dyDescent="0.25">
      <c r="B3" s="52" t="s">
        <v>19</v>
      </c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</row>
    <row r="4" spans="1:25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</row>
    <row r="5" spans="1:25" x14ac:dyDescent="0.25">
      <c r="A5" s="76" t="s">
        <v>12</v>
      </c>
      <c r="B5" s="79" t="s">
        <v>1</v>
      </c>
      <c r="C5" s="80" t="s">
        <v>4</v>
      </c>
      <c r="D5" s="19" t="s">
        <v>13</v>
      </c>
      <c r="E5" s="43">
        <v>0.81630731346458896</v>
      </c>
      <c r="F5" s="45">
        <v>2.5384888615196401</v>
      </c>
      <c r="G5" s="29">
        <v>0.66162217164223103</v>
      </c>
      <c r="H5" s="22">
        <v>1.71595655505471</v>
      </c>
      <c r="I5" s="22">
        <v>2.6653997894658301E-2</v>
      </c>
      <c r="J5" s="22">
        <v>2.8905730228832999E-3</v>
      </c>
      <c r="K5" s="22">
        <v>1.3223775192445299E-2</v>
      </c>
      <c r="L5" s="22">
        <v>3.5148056247998501E-2</v>
      </c>
      <c r="M5" s="22">
        <v>1.07066652061154E-2</v>
      </c>
      <c r="N5" s="22">
        <v>0.25114926492380002</v>
      </c>
      <c r="O5" s="22">
        <v>3.0183928796152101E-2</v>
      </c>
      <c r="P5" s="22">
        <v>1.60524114479242E-2</v>
      </c>
      <c r="Q5" s="22">
        <v>0.15116967377995599</v>
      </c>
      <c r="R5" s="22">
        <v>0.28913966528762097</v>
      </c>
      <c r="S5" s="22">
        <v>0.26973520454304201</v>
      </c>
      <c r="T5" s="22">
        <v>0.44927371791166298</v>
      </c>
      <c r="U5" s="22">
        <v>3.30137721316398E-2</v>
      </c>
      <c r="V5" s="22">
        <v>3.0606739862053499E-2</v>
      </c>
      <c r="Y5" s="25">
        <f>MAX(E5:V5)</f>
        <v>2.5384888615196401</v>
      </c>
    </row>
    <row r="6" spans="1:25" x14ac:dyDescent="0.25">
      <c r="A6" s="77"/>
      <c r="B6" s="79"/>
      <c r="C6" s="80"/>
      <c r="D6" s="19" t="s">
        <v>14</v>
      </c>
      <c r="E6" s="28">
        <v>1.76503241337798</v>
      </c>
      <c r="F6" s="26">
        <v>79.141082187145102</v>
      </c>
      <c r="G6" s="31">
        <v>4.9159557135116101</v>
      </c>
      <c r="H6" s="23">
        <v>68.904421036935901</v>
      </c>
      <c r="I6" s="23">
        <v>7.7396930747720099</v>
      </c>
      <c r="J6" s="23">
        <v>2.03196298779698E-2</v>
      </c>
      <c r="K6" s="23">
        <v>9.3276853110652896E-2</v>
      </c>
      <c r="L6" s="23">
        <v>1.2398314002048101</v>
      </c>
      <c r="M6" s="23">
        <v>7.5959490068581506E-2</v>
      </c>
      <c r="N6" s="23">
        <v>2.6747517473726901</v>
      </c>
      <c r="O6" s="23">
        <v>0.63876020168956305</v>
      </c>
      <c r="P6" s="23">
        <v>0.11331047452236501</v>
      </c>
      <c r="Q6" s="23">
        <v>0.35726674882146803</v>
      </c>
      <c r="R6" s="23">
        <v>9.8899075872316597</v>
      </c>
      <c r="S6" s="23">
        <v>1.6125257200354799</v>
      </c>
      <c r="T6" s="23">
        <v>18.4444639051863</v>
      </c>
      <c r="U6" s="23">
        <v>0.92852050259173502</v>
      </c>
      <c r="V6" s="23">
        <v>0.21750818821981599</v>
      </c>
      <c r="Y6" s="25">
        <f t="shared" ref="Y6:Y22" si="0">MAX(E6:V6)</f>
        <v>79.141082187145102</v>
      </c>
    </row>
    <row r="7" spans="1:25" x14ac:dyDescent="0.25">
      <c r="A7" s="77"/>
      <c r="B7" s="79"/>
      <c r="C7" s="80"/>
      <c r="D7" s="19" t="s">
        <v>15</v>
      </c>
      <c r="E7" s="24">
        <v>0.78218061101344705</v>
      </c>
      <c r="F7" s="24">
        <v>8.0649082267936105</v>
      </c>
      <c r="G7" s="33">
        <v>11.255708521506</v>
      </c>
      <c r="H7" s="46">
        <v>22.614405245825498</v>
      </c>
      <c r="I7" s="23">
        <v>12.8005295269201</v>
      </c>
      <c r="J7" s="23">
        <v>1.05753926524548E-2</v>
      </c>
      <c r="K7" s="23">
        <v>4.8049605918562499E-2</v>
      </c>
      <c r="L7" s="23">
        <v>0.12889248878739401</v>
      </c>
      <c r="M7" s="23">
        <v>0.35108656098555702</v>
      </c>
      <c r="N7" s="23">
        <v>0.91597680693540595</v>
      </c>
      <c r="O7" s="23">
        <v>0.33062589969392903</v>
      </c>
      <c r="P7" s="23">
        <v>5.8703863815242001E-2</v>
      </c>
      <c r="Q7" s="23">
        <v>0.16599100975360501</v>
      </c>
      <c r="R7" s="23">
        <v>3.52436721945271</v>
      </c>
      <c r="S7" s="23">
        <v>3.64198349618967</v>
      </c>
      <c r="T7" s="23">
        <v>8.4251774657883107</v>
      </c>
      <c r="U7" s="23">
        <v>3.3649842341122298</v>
      </c>
      <c r="V7" s="23">
        <v>0.113011619627891</v>
      </c>
      <c r="Y7" s="25">
        <f t="shared" si="0"/>
        <v>22.614405245825498</v>
      </c>
    </row>
    <row r="8" spans="1:25" x14ac:dyDescent="0.25">
      <c r="A8" s="77"/>
      <c r="B8" s="79"/>
      <c r="C8" s="80" t="s">
        <v>5</v>
      </c>
      <c r="D8" s="21" t="s">
        <v>11</v>
      </c>
      <c r="E8" s="23">
        <v>0.71991081357057196</v>
      </c>
      <c r="F8" s="23">
        <v>41.237561518790102</v>
      </c>
      <c r="G8" s="23">
        <v>5.3047932679876597</v>
      </c>
      <c r="H8" s="34">
        <v>252.05507393332701</v>
      </c>
      <c r="I8" s="22">
        <v>14.413113095642</v>
      </c>
      <c r="J8" s="29">
        <v>2.2506666048616002E-2</v>
      </c>
      <c r="K8" s="23">
        <v>5.09663136058272E-2</v>
      </c>
      <c r="L8" s="23">
        <v>0.830147191361293</v>
      </c>
      <c r="M8" s="23">
        <v>0.169657683590413</v>
      </c>
      <c r="N8" s="23">
        <v>8.8352384661551202</v>
      </c>
      <c r="O8" s="23">
        <v>0.48017114108859599</v>
      </c>
      <c r="P8" s="23">
        <v>0.124047937089243</v>
      </c>
      <c r="Q8" s="23">
        <v>0.23822759848085401</v>
      </c>
      <c r="R8" s="23">
        <v>9.7854616735285198</v>
      </c>
      <c r="S8" s="23">
        <v>1.7871858143038899</v>
      </c>
      <c r="T8" s="23">
        <v>84.752910005494599</v>
      </c>
      <c r="U8" s="23">
        <v>4.1051837342557898</v>
      </c>
      <c r="V8" s="23">
        <v>0.238955201502736</v>
      </c>
      <c r="Y8" s="25">
        <f t="shared" si="0"/>
        <v>252.05507393332701</v>
      </c>
    </row>
    <row r="9" spans="1:25" x14ac:dyDescent="0.25">
      <c r="A9" s="77"/>
      <c r="B9" s="79"/>
      <c r="C9" s="80"/>
      <c r="D9" s="21" t="s">
        <v>6</v>
      </c>
      <c r="E9" s="23">
        <v>4.17686749748548E-2</v>
      </c>
      <c r="F9" s="23">
        <v>5.5012129926351196</v>
      </c>
      <c r="G9" s="23">
        <v>6.99242620518325</v>
      </c>
      <c r="H9" s="30">
        <v>14.8112987258913</v>
      </c>
      <c r="I9" s="26">
        <v>48.627700793497397</v>
      </c>
      <c r="J9" s="31">
        <v>2.1035118560195298E-2</v>
      </c>
      <c r="K9" s="23">
        <v>4.7332403754178902E-2</v>
      </c>
      <c r="L9" s="23">
        <v>0.50673427728902698</v>
      </c>
      <c r="M9" s="23">
        <v>0.31022441590419297</v>
      </c>
      <c r="N9" s="23">
        <v>1.81649450865465</v>
      </c>
      <c r="O9" s="23">
        <v>1.09268027810971</v>
      </c>
      <c r="P9" s="23">
        <v>0.11586413910625901</v>
      </c>
      <c r="Q9" s="23">
        <v>7.3017366081258903E-2</v>
      </c>
      <c r="R9" s="23">
        <v>4.5505277722183601</v>
      </c>
      <c r="S9" s="23">
        <v>3.4609655165136699</v>
      </c>
      <c r="T9" s="23">
        <v>12.0003159592312</v>
      </c>
      <c r="U9" s="23">
        <v>14.297438233290499</v>
      </c>
      <c r="V9" s="23">
        <v>0.22101245497237501</v>
      </c>
      <c r="Y9" s="25">
        <f t="shared" si="0"/>
        <v>48.627700793497397</v>
      </c>
    </row>
    <row r="10" spans="1:25" x14ac:dyDescent="0.25">
      <c r="A10" s="77"/>
      <c r="B10" s="79"/>
      <c r="C10" s="80"/>
      <c r="D10" s="21" t="s">
        <v>7</v>
      </c>
      <c r="E10" s="23">
        <v>5.3493312579485398E-3</v>
      </c>
      <c r="F10" s="23">
        <v>5.6040984431192702E-2</v>
      </c>
      <c r="G10" s="23">
        <v>1.0013746170764001E-2</v>
      </c>
      <c r="H10" s="32">
        <v>4.4550629155602199E-2</v>
      </c>
      <c r="I10" s="24">
        <v>3.1185811886920999E-2</v>
      </c>
      <c r="J10" s="42">
        <v>2.6848502517967401E-2</v>
      </c>
      <c r="K10" s="23">
        <v>3.07106638575841E-2</v>
      </c>
      <c r="L10" s="23">
        <v>0.163081433400138</v>
      </c>
      <c r="M10" s="23">
        <v>4.9948673838578497E-2</v>
      </c>
      <c r="N10" s="46">
        <v>0.29360880452114502</v>
      </c>
      <c r="O10" s="23">
        <v>0.14082461792070999</v>
      </c>
      <c r="P10" s="23">
        <v>7.4867075977356007E-2</v>
      </c>
      <c r="Q10" s="23">
        <v>2.3599796352802099E-2</v>
      </c>
      <c r="R10" s="23">
        <v>0.22598010106536701</v>
      </c>
      <c r="S10" s="23">
        <v>9.6982361609372097E-2</v>
      </c>
      <c r="T10" s="23">
        <v>0.23278944296721801</v>
      </c>
      <c r="U10" s="23">
        <v>0.15390013572998501</v>
      </c>
      <c r="V10" s="23">
        <v>0.14210679184494299</v>
      </c>
      <c r="Y10" s="25">
        <f t="shared" si="0"/>
        <v>0.29360880452114502</v>
      </c>
    </row>
    <row r="11" spans="1:25" x14ac:dyDescent="0.25">
      <c r="A11" s="77"/>
      <c r="B11" s="79" t="s">
        <v>2</v>
      </c>
      <c r="C11" s="80" t="s">
        <v>4</v>
      </c>
      <c r="D11" s="21" t="s">
        <v>11</v>
      </c>
      <c r="E11" s="23">
        <v>5.2080032487890802E-2</v>
      </c>
      <c r="F11" s="23">
        <v>6.8084390900663497E-2</v>
      </c>
      <c r="G11" s="23">
        <v>3.6460774676972701E-2</v>
      </c>
      <c r="H11" s="23">
        <v>0.215168571114841</v>
      </c>
      <c r="I11" s="23">
        <v>3.7834131775341798E-2</v>
      </c>
      <c r="J11" s="23">
        <v>1.6486156597527599E-2</v>
      </c>
      <c r="K11" s="40">
        <v>1.52421531554585</v>
      </c>
      <c r="L11" s="22">
        <v>2.9809704370211501</v>
      </c>
      <c r="M11" s="29">
        <v>1.2702104885399199</v>
      </c>
      <c r="N11" s="46">
        <v>6.0407534081897296</v>
      </c>
      <c r="O11" s="23">
        <v>0.170623495528751</v>
      </c>
      <c r="P11" s="23">
        <v>9.0868587943600795E-2</v>
      </c>
      <c r="Q11" s="23">
        <v>0.22845394465052399</v>
      </c>
      <c r="R11" s="23">
        <v>0.82014639956534896</v>
      </c>
      <c r="S11" s="23">
        <v>0.11773678685964099</v>
      </c>
      <c r="T11" s="23">
        <v>0.57152041053644598</v>
      </c>
      <c r="U11" s="23">
        <v>0.186091023745037</v>
      </c>
      <c r="V11" s="23">
        <v>0.17328067019646201</v>
      </c>
      <c r="Y11" s="25">
        <f t="shared" si="0"/>
        <v>6.0407534081897296</v>
      </c>
    </row>
    <row r="12" spans="1:25" x14ac:dyDescent="0.25">
      <c r="A12" s="77"/>
      <c r="B12" s="79"/>
      <c r="C12" s="80"/>
      <c r="D12" s="21" t="s">
        <v>6</v>
      </c>
      <c r="E12" s="23">
        <v>0.177947520457713</v>
      </c>
      <c r="F12" s="23">
        <v>7.7685653679266702</v>
      </c>
      <c r="G12" s="23">
        <v>0.38848278912991402</v>
      </c>
      <c r="H12" s="23">
        <v>7.1557369217323004</v>
      </c>
      <c r="I12" s="23">
        <v>0.85861106191735204</v>
      </c>
      <c r="J12" s="23">
        <v>7.44268548686568E-2</v>
      </c>
      <c r="K12" s="30">
        <v>1.69688258386519</v>
      </c>
      <c r="L12" s="26">
        <v>85.361035999341695</v>
      </c>
      <c r="M12" s="31">
        <v>8.0012852183539707</v>
      </c>
      <c r="N12" s="46">
        <v>165.625375222049</v>
      </c>
      <c r="O12" s="23">
        <v>23.331849386304199</v>
      </c>
      <c r="P12" s="23">
        <v>0.41236703823974902</v>
      </c>
      <c r="Q12" s="23">
        <v>0.12988629348813299</v>
      </c>
      <c r="R12" s="23">
        <v>9.9765812406708694</v>
      </c>
      <c r="S12" s="23">
        <v>1.0684908213383699</v>
      </c>
      <c r="T12" s="23">
        <v>6.4547322802033804</v>
      </c>
      <c r="U12" s="23">
        <v>0.84393483585947704</v>
      </c>
      <c r="V12" s="23">
        <v>0.788133721415191</v>
      </c>
      <c r="Y12" s="25">
        <f t="shared" si="0"/>
        <v>165.625375222049</v>
      </c>
    </row>
    <row r="13" spans="1:25" x14ac:dyDescent="0.25">
      <c r="A13" s="77"/>
      <c r="B13" s="79"/>
      <c r="C13" s="80"/>
      <c r="D13" s="21" t="s">
        <v>7</v>
      </c>
      <c r="E13" s="23">
        <v>6.2728808728863106E-2</v>
      </c>
      <c r="F13" s="23">
        <v>2.17632019801365</v>
      </c>
      <c r="G13" s="23">
        <v>0.583053202048185</v>
      </c>
      <c r="H13" s="23">
        <v>1.54947489793819</v>
      </c>
      <c r="I13" s="23">
        <v>1.2056643044612001</v>
      </c>
      <c r="J13" s="23">
        <v>5.2589951265075E-2</v>
      </c>
      <c r="K13" s="32">
        <v>1.66663811176448</v>
      </c>
      <c r="L13" s="24">
        <v>17.817535967431599</v>
      </c>
      <c r="M13" s="33">
        <v>35.980067051243303</v>
      </c>
      <c r="N13" s="23">
        <v>47.815746090546298</v>
      </c>
      <c r="O13" s="46">
        <v>49.124280170411197</v>
      </c>
      <c r="P13" s="23">
        <v>0.29391228500695599</v>
      </c>
      <c r="Q13" s="23">
        <v>9.2495989129158199E-2</v>
      </c>
      <c r="R13" s="23">
        <v>1.75521403649992</v>
      </c>
      <c r="S13" s="23">
        <v>1.8747230206788501</v>
      </c>
      <c r="T13" s="23">
        <v>0.91764795325770199</v>
      </c>
      <c r="U13" s="23">
        <v>1.1991663089503499</v>
      </c>
      <c r="V13" s="23">
        <v>0.56045749986584903</v>
      </c>
      <c r="Y13" s="25">
        <f t="shared" si="0"/>
        <v>49.124280170411197</v>
      </c>
    </row>
    <row r="14" spans="1:25" x14ac:dyDescent="0.25">
      <c r="A14" s="77"/>
      <c r="B14" s="79"/>
      <c r="C14" s="80" t="s">
        <v>5</v>
      </c>
      <c r="D14" s="21" t="s">
        <v>11</v>
      </c>
      <c r="E14" s="23">
        <v>0.144102107509361</v>
      </c>
      <c r="F14" s="23">
        <v>15.0135942688788</v>
      </c>
      <c r="G14" s="23">
        <v>0.40034395179250898</v>
      </c>
      <c r="H14" s="23">
        <v>39.159573223417503</v>
      </c>
      <c r="I14" s="23">
        <v>3.32271026327559</v>
      </c>
      <c r="J14" s="28">
        <v>0.179094149915731</v>
      </c>
      <c r="K14" s="28">
        <v>2.0420732031096902</v>
      </c>
      <c r="L14" s="23">
        <v>67.712186536451298</v>
      </c>
      <c r="M14" s="23">
        <v>9.3243402635197796</v>
      </c>
      <c r="N14" s="34">
        <v>769.59209389997102</v>
      </c>
      <c r="O14" s="22">
        <v>52.405738930746097</v>
      </c>
      <c r="P14" s="39">
        <v>0.99105476520161695</v>
      </c>
      <c r="Q14" s="23">
        <v>0.31253360353977899</v>
      </c>
      <c r="R14" s="23">
        <v>26.864707950265601</v>
      </c>
      <c r="S14" s="23">
        <v>2.5997584380012899</v>
      </c>
      <c r="T14" s="23">
        <v>49.627821640402203</v>
      </c>
      <c r="U14" s="23">
        <v>2.0393766756211198</v>
      </c>
      <c r="V14" s="28">
        <v>1.8944631700516801</v>
      </c>
      <c r="Y14" s="25">
        <f t="shared" si="0"/>
        <v>769.59209389997102</v>
      </c>
    </row>
    <row r="15" spans="1:25" x14ac:dyDescent="0.25">
      <c r="A15" s="77"/>
      <c r="B15" s="79"/>
      <c r="C15" s="80"/>
      <c r="D15" s="21" t="s">
        <v>6</v>
      </c>
      <c r="E15" s="23">
        <v>5.5354741688175599E-2</v>
      </c>
      <c r="F15" s="23">
        <v>1.75189356481417</v>
      </c>
      <c r="G15" s="23">
        <v>0.51527724198376301</v>
      </c>
      <c r="H15" s="23">
        <v>5.0592478703107897</v>
      </c>
      <c r="I15" s="23">
        <v>3.8685524017372002</v>
      </c>
      <c r="J15" s="23">
        <v>0.13816239833293001</v>
      </c>
      <c r="K15" s="23">
        <v>0.31327069028909399</v>
      </c>
      <c r="L15" s="37">
        <v>16.921651622548598</v>
      </c>
      <c r="M15" s="23">
        <v>26.856247680584602</v>
      </c>
      <c r="N15" s="30">
        <v>91.214609122532707</v>
      </c>
      <c r="O15" s="26">
        <v>133.42868289740599</v>
      </c>
      <c r="P15" s="31">
        <v>0.76522415135908795</v>
      </c>
      <c r="Q15" s="23">
        <v>0.24220477076078001</v>
      </c>
      <c r="R15" s="23">
        <v>2.3055105592976899</v>
      </c>
      <c r="S15" s="23">
        <v>4.0119857130529004</v>
      </c>
      <c r="T15" s="23">
        <v>4.8879855752577503</v>
      </c>
      <c r="U15" s="23">
        <v>6.3679060193298103</v>
      </c>
      <c r="V15" s="23">
        <v>1.4619348718793299</v>
      </c>
      <c r="Y15" s="25">
        <f t="shared" si="0"/>
        <v>133.42868289740599</v>
      </c>
    </row>
    <row r="16" spans="1:25" x14ac:dyDescent="0.25">
      <c r="A16" s="77"/>
      <c r="B16" s="79"/>
      <c r="C16" s="80"/>
      <c r="D16" s="21" t="s">
        <v>7</v>
      </c>
      <c r="E16" s="23">
        <v>4.6932293087746102E-2</v>
      </c>
      <c r="F16" s="23">
        <v>0.49057215300933299</v>
      </c>
      <c r="G16" s="23">
        <v>8.7354922479523894E-2</v>
      </c>
      <c r="H16" s="23">
        <v>0.39125008853243198</v>
      </c>
      <c r="I16" s="23">
        <v>0.27207744588628802</v>
      </c>
      <c r="J16" s="23">
        <v>0.117468398037109</v>
      </c>
      <c r="K16" s="23">
        <v>0.26721768067180401</v>
      </c>
      <c r="L16" s="23">
        <v>1.42781245299195</v>
      </c>
      <c r="M16" s="23">
        <v>0.43554802506367502</v>
      </c>
      <c r="N16" s="47">
        <v>2.5694928424172301</v>
      </c>
      <c r="O16" s="24">
        <v>1.2258693998740999</v>
      </c>
      <c r="P16" s="33">
        <v>0.65737151327092702</v>
      </c>
      <c r="Q16" s="23">
        <v>0.20563760795517499</v>
      </c>
      <c r="R16" s="23">
        <v>1.9717840152784101</v>
      </c>
      <c r="S16" s="23">
        <v>0.84698403118651799</v>
      </c>
      <c r="T16" s="23">
        <v>2.0521436175897398</v>
      </c>
      <c r="U16" s="23">
        <v>1.3429795951312</v>
      </c>
      <c r="V16" s="23">
        <v>1.25031589075728</v>
      </c>
      <c r="Y16" s="25">
        <f t="shared" si="0"/>
        <v>2.5694928424172301</v>
      </c>
    </row>
    <row r="17" spans="1:25" x14ac:dyDescent="0.25">
      <c r="A17" s="77"/>
      <c r="B17" s="79" t="s">
        <v>3</v>
      </c>
      <c r="C17" s="80" t="s">
        <v>4</v>
      </c>
      <c r="D17" s="21" t="s">
        <v>11</v>
      </c>
      <c r="E17" s="23">
        <v>0.143508391888475</v>
      </c>
      <c r="F17" s="23">
        <v>1.02142105738495</v>
      </c>
      <c r="G17" s="23">
        <v>0.114771901676002</v>
      </c>
      <c r="H17" s="23">
        <v>0.556034494947933</v>
      </c>
      <c r="I17" s="23">
        <v>5.9692758954835203E-2</v>
      </c>
      <c r="J17" s="23">
        <v>1.2744107978332199E-2</v>
      </c>
      <c r="K17" s="23">
        <v>5.8796504869909498E-2</v>
      </c>
      <c r="L17" s="23">
        <v>0.155476870496467</v>
      </c>
      <c r="M17" s="23">
        <v>4.7163623028982499E-2</v>
      </c>
      <c r="N17" s="23">
        <v>0.56455739299676899</v>
      </c>
      <c r="O17" s="23">
        <v>0.13351365702005599</v>
      </c>
      <c r="P17" s="23">
        <v>7.1149928492666006E-2</v>
      </c>
      <c r="Q17" s="40">
        <v>2.50117429508385</v>
      </c>
      <c r="R17" s="45">
        <v>7.0921077154261702</v>
      </c>
      <c r="S17" s="29">
        <v>2.4987687918769299</v>
      </c>
      <c r="T17" s="23">
        <v>2.9150820671323401</v>
      </c>
      <c r="U17" s="23">
        <v>0.44119307338018099</v>
      </c>
      <c r="V17" s="23">
        <v>0.13525359091115299</v>
      </c>
      <c r="Y17" s="25">
        <f t="shared" si="0"/>
        <v>7.0921077154261702</v>
      </c>
    </row>
    <row r="18" spans="1:25" x14ac:dyDescent="0.25">
      <c r="A18" s="77"/>
      <c r="B18" s="79"/>
      <c r="C18" s="80"/>
      <c r="D18" s="21" t="s">
        <v>6</v>
      </c>
      <c r="E18" s="23">
        <v>0.22305674625059599</v>
      </c>
      <c r="F18" s="23">
        <v>16.743983046358998</v>
      </c>
      <c r="G18" s="23">
        <v>0.76334359618947101</v>
      </c>
      <c r="H18" s="23">
        <v>15.758686942243401</v>
      </c>
      <c r="I18" s="23">
        <v>1.94312088158146</v>
      </c>
      <c r="J18" s="23">
        <v>9.40617773573591E-2</v>
      </c>
      <c r="K18" s="23">
        <v>0.21316229694052199</v>
      </c>
      <c r="L18" s="23">
        <v>2.2843940724944498</v>
      </c>
      <c r="M18" s="23">
        <v>1.03510096365549</v>
      </c>
      <c r="N18" s="23">
        <v>8.1099197344693792</v>
      </c>
      <c r="O18" s="23">
        <v>0.97872263826573802</v>
      </c>
      <c r="P18" s="23">
        <v>0.521705786167595</v>
      </c>
      <c r="Q18" s="35">
        <v>6.7002809067631901</v>
      </c>
      <c r="R18" s="26">
        <v>257.09414641829699</v>
      </c>
      <c r="S18" s="31">
        <v>28.208122388444199</v>
      </c>
      <c r="T18" s="23">
        <v>139.37799376678001</v>
      </c>
      <c r="U18" s="23">
        <v>10.6286738798945</v>
      </c>
      <c r="V18" s="23">
        <v>0.99986828174681297</v>
      </c>
      <c r="Y18" s="25">
        <f t="shared" si="0"/>
        <v>257.09414641829699</v>
      </c>
    </row>
    <row r="19" spans="1:25" x14ac:dyDescent="0.25">
      <c r="A19" s="77"/>
      <c r="B19" s="79"/>
      <c r="C19" s="80"/>
      <c r="D19" s="21" t="s">
        <v>7</v>
      </c>
      <c r="E19" s="23">
        <v>0.35062441567372199</v>
      </c>
      <c r="F19" s="23">
        <v>3.2254464481573399</v>
      </c>
      <c r="G19" s="23">
        <v>3.5882880729748901</v>
      </c>
      <c r="H19" s="23">
        <v>7.6625381581934997</v>
      </c>
      <c r="I19" s="23">
        <v>4.0561688556896396</v>
      </c>
      <c r="J19" s="23">
        <v>0.110408928309649</v>
      </c>
      <c r="K19" s="23">
        <v>0.25004834303829598</v>
      </c>
      <c r="L19" s="23">
        <v>2.67614120890615</v>
      </c>
      <c r="M19" s="23">
        <v>2.4343117556463598</v>
      </c>
      <c r="N19" s="23">
        <v>11.9032568541024</v>
      </c>
      <c r="O19" s="23">
        <v>4.5604160686300803</v>
      </c>
      <c r="P19" s="23">
        <v>0.61067255428331102</v>
      </c>
      <c r="Q19" s="32">
        <v>4.9884741675704598</v>
      </c>
      <c r="R19" s="24">
        <v>51.346541046699102</v>
      </c>
      <c r="S19" s="33">
        <v>76.647345564199895</v>
      </c>
      <c r="T19" s="46">
        <v>85.714976358940007</v>
      </c>
      <c r="U19" s="23">
        <v>42.563923833022201</v>
      </c>
      <c r="V19" s="23">
        <v>1.16911770876606</v>
      </c>
      <c r="Y19" s="25">
        <f t="shared" si="0"/>
        <v>85.714976358940007</v>
      </c>
    </row>
    <row r="20" spans="1:25" x14ac:dyDescent="0.25">
      <c r="A20" s="77"/>
      <c r="B20" s="79"/>
      <c r="C20" s="80" t="s">
        <v>5</v>
      </c>
      <c r="D20" s="21" t="s">
        <v>11</v>
      </c>
      <c r="E20" s="23">
        <v>0.132732088210501</v>
      </c>
      <c r="F20" s="23">
        <v>11.108919556768299</v>
      </c>
      <c r="G20" s="23">
        <v>1.3175497134432801</v>
      </c>
      <c r="H20" s="23">
        <v>54.688387332198801</v>
      </c>
      <c r="I20" s="23">
        <v>3.8472511411925598</v>
      </c>
      <c r="J20" s="23">
        <v>0.10987766899173899</v>
      </c>
      <c r="K20" s="23">
        <v>0.24946721350882001</v>
      </c>
      <c r="L20" s="23">
        <v>5.3556728810354999</v>
      </c>
      <c r="M20" s="23">
        <v>0.40705399147601801</v>
      </c>
      <c r="N20" s="23">
        <v>19.399222808891</v>
      </c>
      <c r="O20" s="23">
        <v>1.1489884179569001</v>
      </c>
      <c r="P20" s="23">
        <v>0.60957559991002797</v>
      </c>
      <c r="Q20" s="23">
        <v>1.93640506988715</v>
      </c>
      <c r="R20" s="23">
        <v>100.059957197671</v>
      </c>
      <c r="S20" s="23">
        <v>26.344354255673299</v>
      </c>
      <c r="T20" s="34">
        <v>909.20228498706797</v>
      </c>
      <c r="U20" s="22">
        <v>30.334773037283</v>
      </c>
      <c r="V20" s="22">
        <v>1.1589378047521799</v>
      </c>
      <c r="Y20" s="25">
        <f t="shared" si="0"/>
        <v>909.20228498706797</v>
      </c>
    </row>
    <row r="21" spans="1:25" x14ac:dyDescent="0.25">
      <c r="A21" s="77"/>
      <c r="B21" s="79"/>
      <c r="C21" s="80"/>
      <c r="D21" s="21" t="s">
        <v>6</v>
      </c>
      <c r="E21" s="23">
        <v>4.0473326283151402E-2</v>
      </c>
      <c r="F21" s="23">
        <v>2.55573075869223</v>
      </c>
      <c r="G21" s="23">
        <v>0.98517803682803795</v>
      </c>
      <c r="H21" s="23">
        <v>3.3503420930100298</v>
      </c>
      <c r="I21" s="23">
        <v>3.2989922091491901</v>
      </c>
      <c r="J21" s="23">
        <v>0.101348908992413</v>
      </c>
      <c r="K21" s="23">
        <v>0.231903934802902</v>
      </c>
      <c r="L21" s="23">
        <v>1.2431928211129999</v>
      </c>
      <c r="M21" s="23">
        <v>0.37758846976149602</v>
      </c>
      <c r="N21" s="23">
        <v>2.2150299216417202</v>
      </c>
      <c r="O21" s="23">
        <v>1.06327115226862</v>
      </c>
      <c r="P21" s="23">
        <v>0.56270141485134695</v>
      </c>
      <c r="Q21" s="23">
        <v>0.35764111330466097</v>
      </c>
      <c r="R21" s="23">
        <v>18.7001934983921</v>
      </c>
      <c r="S21" s="23">
        <v>16.868433558266801</v>
      </c>
      <c r="T21" s="30">
        <v>45.864572669483302</v>
      </c>
      <c r="U21" s="26">
        <v>75.7342739411379</v>
      </c>
      <c r="V21" s="23">
        <v>1.0787693508574501</v>
      </c>
      <c r="Y21" s="25">
        <f t="shared" si="0"/>
        <v>75.7342739411379</v>
      </c>
    </row>
    <row r="22" spans="1:25" x14ac:dyDescent="0.25">
      <c r="A22" s="78"/>
      <c r="B22" s="79"/>
      <c r="C22" s="80"/>
      <c r="D22" s="21" t="s">
        <v>7</v>
      </c>
      <c r="E22" s="24">
        <v>6.6578731007080394E-2</v>
      </c>
      <c r="F22" s="24">
        <v>0.69943692888451003</v>
      </c>
      <c r="G22" s="24">
        <v>0.12454342968953599</v>
      </c>
      <c r="H22" s="24">
        <v>0.553075199944847</v>
      </c>
      <c r="I22" s="24">
        <v>0.38698336149235601</v>
      </c>
      <c r="J22" s="44">
        <v>0.167178274726556</v>
      </c>
      <c r="K22" s="24">
        <v>0.38015852341265399</v>
      </c>
      <c r="L22" s="24">
        <v>2.0418028695307999</v>
      </c>
      <c r="M22" s="24">
        <v>0.61725522795676202</v>
      </c>
      <c r="N22" s="48">
        <v>3.6385708389593798</v>
      </c>
      <c r="O22" s="24">
        <v>1.74707603824212</v>
      </c>
      <c r="P22" s="24">
        <v>0.92973648882204696</v>
      </c>
      <c r="Q22" s="24">
        <v>0.29493921603224799</v>
      </c>
      <c r="R22" s="24">
        <v>2.7920092862748498</v>
      </c>
      <c r="S22" s="24">
        <v>1.2046046037607201</v>
      </c>
      <c r="T22" s="32">
        <v>2.9133311239189901</v>
      </c>
      <c r="U22" s="24">
        <v>1.91416250766381</v>
      </c>
      <c r="V22" s="27">
        <v>1.76848502460492</v>
      </c>
      <c r="Y22" s="25">
        <f t="shared" si="0"/>
        <v>3.6385708389593798</v>
      </c>
    </row>
    <row r="25" spans="1:25" x14ac:dyDescent="0.25">
      <c r="D25" s="11" t="s">
        <v>16</v>
      </c>
      <c r="E25" s="23">
        <f>MAX(E5:E22)</f>
        <v>1.76503241337798</v>
      </c>
      <c r="F25" s="23">
        <f t="shared" ref="F25:V25" si="1">MAX(F5:F22)</f>
        <v>79.141082187145102</v>
      </c>
      <c r="G25" s="23">
        <f t="shared" si="1"/>
        <v>11.255708521506</v>
      </c>
      <c r="H25" s="23">
        <f t="shared" si="1"/>
        <v>252.05507393332701</v>
      </c>
      <c r="I25" s="23">
        <f t="shared" si="1"/>
        <v>48.627700793497397</v>
      </c>
      <c r="J25" s="23">
        <f t="shared" si="1"/>
        <v>0.179094149915731</v>
      </c>
      <c r="K25" s="23">
        <f t="shared" si="1"/>
        <v>2.0420732031096902</v>
      </c>
      <c r="L25" s="23">
        <f t="shared" si="1"/>
        <v>85.361035999341695</v>
      </c>
      <c r="M25" s="23">
        <f t="shared" si="1"/>
        <v>35.980067051243303</v>
      </c>
      <c r="N25" s="23">
        <f t="shared" si="1"/>
        <v>769.59209389997102</v>
      </c>
      <c r="O25" s="23">
        <f t="shared" si="1"/>
        <v>133.42868289740599</v>
      </c>
      <c r="P25" s="23">
        <f t="shared" si="1"/>
        <v>0.99105476520161695</v>
      </c>
      <c r="Q25" s="23">
        <f t="shared" si="1"/>
        <v>6.7002809067631901</v>
      </c>
      <c r="R25" s="23">
        <f t="shared" si="1"/>
        <v>257.09414641829699</v>
      </c>
      <c r="S25" s="23">
        <f t="shared" si="1"/>
        <v>76.647345564199895</v>
      </c>
      <c r="T25" s="23">
        <f t="shared" si="1"/>
        <v>909.20228498706797</v>
      </c>
      <c r="U25" s="23">
        <f t="shared" si="1"/>
        <v>75.7342739411379</v>
      </c>
      <c r="V25" s="23">
        <f t="shared" si="1"/>
        <v>1.8944631700516801</v>
      </c>
    </row>
  </sheetData>
  <mergeCells count="20"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8246-08B8-4384-8D84-50D72836A8D7}">
  <dimension ref="A1:X24"/>
  <sheetViews>
    <sheetView showGridLines="0" workbookViewId="0">
      <selection activeCell="X2" sqref="X2:X4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22" width="9.140625" style="11"/>
    <col min="23" max="23" width="1.7109375" style="11" customWidth="1"/>
    <col min="24" max="24" width="14.85546875" style="50" customWidth="1"/>
    <col min="25" max="16384" width="9.140625" style="11"/>
  </cols>
  <sheetData>
    <row r="1" spans="1:24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4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  <c r="X2" s="81" t="s">
        <v>20</v>
      </c>
    </row>
    <row r="3" spans="1:24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  <c r="X3" s="81"/>
    </row>
    <row r="4" spans="1:24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  <c r="X4" s="81"/>
    </row>
    <row r="5" spans="1:24" x14ac:dyDescent="0.25">
      <c r="A5" s="76" t="s">
        <v>12</v>
      </c>
      <c r="B5" s="79" t="s">
        <v>1</v>
      </c>
      <c r="C5" s="80" t="s">
        <v>4</v>
      </c>
      <c r="D5" s="19" t="s">
        <v>13</v>
      </c>
      <c r="E5" s="49">
        <v>-148</v>
      </c>
      <c r="F5" s="49">
        <v>-71</v>
      </c>
      <c r="G5" s="49">
        <v>-279</v>
      </c>
      <c r="H5" s="49">
        <v>81</v>
      </c>
      <c r="I5" s="49">
        <v>174</v>
      </c>
      <c r="J5" s="49">
        <v>9</v>
      </c>
      <c r="K5" s="49">
        <v>5</v>
      </c>
      <c r="L5" s="49">
        <v>1</v>
      </c>
      <c r="M5" s="49">
        <v>-1</v>
      </c>
      <c r="N5" s="49">
        <v>1</v>
      </c>
      <c r="O5" s="49">
        <v>-1</v>
      </c>
      <c r="P5" s="49">
        <v>-1</v>
      </c>
      <c r="Q5" s="49">
        <v>4</v>
      </c>
      <c r="R5" s="49">
        <v>2</v>
      </c>
      <c r="S5" s="49">
        <v>-15</v>
      </c>
      <c r="T5" s="49">
        <v>5</v>
      </c>
      <c r="U5" s="49">
        <v>10</v>
      </c>
      <c r="V5" s="49">
        <v>-1</v>
      </c>
      <c r="X5" s="50">
        <f>SUM(E5:V5)</f>
        <v>-225</v>
      </c>
    </row>
    <row r="6" spans="1:24" x14ac:dyDescent="0.25">
      <c r="A6" s="77"/>
      <c r="B6" s="79"/>
      <c r="C6" s="80"/>
      <c r="D6" s="19" t="s">
        <v>14</v>
      </c>
      <c r="E6" s="50">
        <v>-112</v>
      </c>
      <c r="F6" s="50">
        <v>-339</v>
      </c>
      <c r="G6" s="50">
        <v>-225</v>
      </c>
      <c r="H6" s="50">
        <v>-1026</v>
      </c>
      <c r="I6" s="50">
        <v>815</v>
      </c>
      <c r="J6" s="50">
        <v>135</v>
      </c>
      <c r="K6" s="50">
        <v>0</v>
      </c>
      <c r="L6" s="50">
        <v>4</v>
      </c>
      <c r="M6" s="50">
        <v>1</v>
      </c>
      <c r="N6" s="50">
        <v>-6</v>
      </c>
      <c r="O6" s="50">
        <v>4</v>
      </c>
      <c r="P6" s="50">
        <v>3</v>
      </c>
      <c r="Q6" s="50">
        <v>-2</v>
      </c>
      <c r="R6" s="50">
        <v>4</v>
      </c>
      <c r="S6" s="50">
        <v>-11</v>
      </c>
      <c r="T6" s="50">
        <v>-72</v>
      </c>
      <c r="U6" s="50">
        <v>64</v>
      </c>
      <c r="V6" s="50">
        <v>8</v>
      </c>
      <c r="X6" s="50">
        <f t="shared" ref="X6:X24" si="0">SUM(E6:V6)</f>
        <v>-755</v>
      </c>
    </row>
    <row r="7" spans="1:24" x14ac:dyDescent="0.25">
      <c r="A7" s="77"/>
      <c r="B7" s="79"/>
      <c r="C7" s="80"/>
      <c r="D7" s="19" t="s">
        <v>15</v>
      </c>
      <c r="E7" s="50">
        <v>-196</v>
      </c>
      <c r="F7" s="50">
        <v>-144</v>
      </c>
      <c r="G7" s="50">
        <v>-860</v>
      </c>
      <c r="H7" s="50">
        <v>-724</v>
      </c>
      <c r="I7" s="50">
        <v>-720</v>
      </c>
      <c r="J7" s="50">
        <v>696</v>
      </c>
      <c r="K7" s="50">
        <v>-2</v>
      </c>
      <c r="L7" s="50">
        <v>3</v>
      </c>
      <c r="M7" s="50">
        <v>-6</v>
      </c>
      <c r="N7" s="50">
        <v>-5</v>
      </c>
      <c r="O7" s="50">
        <v>-2</v>
      </c>
      <c r="P7" s="50">
        <v>5</v>
      </c>
      <c r="Q7" s="50">
        <v>-9</v>
      </c>
      <c r="R7" s="50">
        <v>-16</v>
      </c>
      <c r="S7" s="50">
        <v>-38</v>
      </c>
      <c r="T7" s="50">
        <v>-66</v>
      </c>
      <c r="U7" s="50">
        <v>-33</v>
      </c>
      <c r="V7" s="50">
        <v>37</v>
      </c>
      <c r="X7" s="50">
        <f t="shared" si="0"/>
        <v>-2080</v>
      </c>
    </row>
    <row r="8" spans="1:24" x14ac:dyDescent="0.25">
      <c r="A8" s="77"/>
      <c r="B8" s="79"/>
      <c r="C8" s="80" t="s">
        <v>5</v>
      </c>
      <c r="D8" s="21" t="s">
        <v>11</v>
      </c>
      <c r="E8" s="50">
        <v>59</v>
      </c>
      <c r="F8" s="50">
        <v>-435</v>
      </c>
      <c r="G8" s="50">
        <v>-322</v>
      </c>
      <c r="H8" s="50">
        <v>-2767</v>
      </c>
      <c r="I8" s="50">
        <v>89</v>
      </c>
      <c r="J8" s="50">
        <v>2</v>
      </c>
      <c r="K8" s="50">
        <v>-1</v>
      </c>
      <c r="L8" s="50">
        <v>1</v>
      </c>
      <c r="M8" s="50">
        <v>-2</v>
      </c>
      <c r="N8" s="50">
        <v>-17</v>
      </c>
      <c r="O8" s="50">
        <v>3</v>
      </c>
      <c r="P8" s="50">
        <v>-1</v>
      </c>
      <c r="Q8" s="50">
        <v>3</v>
      </c>
      <c r="R8" s="50">
        <v>-26</v>
      </c>
      <c r="S8" s="50">
        <v>-13</v>
      </c>
      <c r="T8" s="50">
        <v>-249</v>
      </c>
      <c r="U8" s="50">
        <v>10</v>
      </c>
      <c r="V8" s="50">
        <v>-2</v>
      </c>
      <c r="X8" s="50">
        <f t="shared" si="0"/>
        <v>-3668</v>
      </c>
    </row>
    <row r="9" spans="1:24" x14ac:dyDescent="0.25">
      <c r="A9" s="77"/>
      <c r="B9" s="79"/>
      <c r="C9" s="80"/>
      <c r="D9" s="21" t="s">
        <v>6</v>
      </c>
      <c r="E9" s="50">
        <v>58</v>
      </c>
      <c r="F9" s="50">
        <v>386</v>
      </c>
      <c r="G9" s="50">
        <v>-574</v>
      </c>
      <c r="H9" s="50">
        <v>-157</v>
      </c>
      <c r="I9" s="50">
        <v>2179</v>
      </c>
      <c r="J9" s="50">
        <v>328</v>
      </c>
      <c r="K9" s="50">
        <v>1</v>
      </c>
      <c r="L9" s="50">
        <v>1</v>
      </c>
      <c r="M9" s="50">
        <v>-5</v>
      </c>
      <c r="N9" s="50">
        <v>-5</v>
      </c>
      <c r="O9" s="50">
        <v>36</v>
      </c>
      <c r="P9" s="50">
        <v>0</v>
      </c>
      <c r="Q9" s="50">
        <v>0</v>
      </c>
      <c r="R9" s="50">
        <v>18</v>
      </c>
      <c r="S9" s="50">
        <v>-32</v>
      </c>
      <c r="T9" s="50">
        <v>-45</v>
      </c>
      <c r="U9" s="50">
        <v>212</v>
      </c>
      <c r="V9" s="50">
        <v>32</v>
      </c>
      <c r="X9" s="50">
        <f t="shared" si="0"/>
        <v>2433</v>
      </c>
    </row>
    <row r="10" spans="1:24" x14ac:dyDescent="0.25">
      <c r="A10" s="77"/>
      <c r="B10" s="79"/>
      <c r="C10" s="80"/>
      <c r="D10" s="21" t="s">
        <v>7</v>
      </c>
      <c r="E10" s="50">
        <v>-1</v>
      </c>
      <c r="F10" s="50">
        <v>49</v>
      </c>
      <c r="G10" s="50">
        <v>455</v>
      </c>
      <c r="H10" s="50">
        <v>5</v>
      </c>
      <c r="I10" s="50">
        <v>201</v>
      </c>
      <c r="J10" s="50">
        <v>1241</v>
      </c>
      <c r="K10" s="50">
        <v>-1</v>
      </c>
      <c r="L10" s="50">
        <v>0</v>
      </c>
      <c r="M10" s="50">
        <v>5</v>
      </c>
      <c r="N10" s="50">
        <v>-1</v>
      </c>
      <c r="O10" s="50">
        <v>3</v>
      </c>
      <c r="P10" s="50">
        <v>23</v>
      </c>
      <c r="Q10" s="50">
        <v>0</v>
      </c>
      <c r="R10" s="50">
        <v>15</v>
      </c>
      <c r="S10" s="50">
        <v>26</v>
      </c>
      <c r="T10" s="50">
        <v>-2</v>
      </c>
      <c r="U10" s="50">
        <v>24</v>
      </c>
      <c r="V10" s="50">
        <v>95</v>
      </c>
      <c r="X10" s="50">
        <f t="shared" si="0"/>
        <v>2137</v>
      </c>
    </row>
    <row r="11" spans="1:24" x14ac:dyDescent="0.25">
      <c r="A11" s="77"/>
      <c r="B11" s="79" t="s">
        <v>2</v>
      </c>
      <c r="C11" s="80" t="s">
        <v>4</v>
      </c>
      <c r="D11" s="21" t="s">
        <v>11</v>
      </c>
      <c r="E11" s="50">
        <v>2</v>
      </c>
      <c r="F11" s="50">
        <v>5</v>
      </c>
      <c r="G11" s="50">
        <v>-2</v>
      </c>
      <c r="H11" s="50">
        <v>1</v>
      </c>
      <c r="I11" s="50">
        <v>5</v>
      </c>
      <c r="J11" s="50">
        <v>1</v>
      </c>
      <c r="K11" s="50">
        <v>-8</v>
      </c>
      <c r="L11" s="50">
        <v>-3</v>
      </c>
      <c r="M11" s="50">
        <v>-13</v>
      </c>
      <c r="N11" s="50">
        <v>-3</v>
      </c>
      <c r="O11" s="50">
        <v>14</v>
      </c>
      <c r="P11" s="50">
        <v>4</v>
      </c>
      <c r="Q11" s="50">
        <v>-5</v>
      </c>
      <c r="R11" s="50">
        <v>0</v>
      </c>
      <c r="S11" s="50">
        <v>-1</v>
      </c>
      <c r="T11" s="50">
        <v>0</v>
      </c>
      <c r="U11" s="50">
        <v>1</v>
      </c>
      <c r="V11" s="50">
        <v>-1</v>
      </c>
      <c r="X11" s="50">
        <f t="shared" si="0"/>
        <v>-3</v>
      </c>
    </row>
    <row r="12" spans="1:24" x14ac:dyDescent="0.25">
      <c r="A12" s="77"/>
      <c r="B12" s="79"/>
      <c r="C12" s="80"/>
      <c r="D12" s="21" t="s">
        <v>6</v>
      </c>
      <c r="E12" s="50">
        <v>-5</v>
      </c>
      <c r="F12" s="50">
        <v>-15</v>
      </c>
      <c r="G12" s="50">
        <v>-2</v>
      </c>
      <c r="H12" s="50">
        <v>-26</v>
      </c>
      <c r="I12" s="50">
        <v>12</v>
      </c>
      <c r="J12" s="50">
        <v>2</v>
      </c>
      <c r="K12" s="50">
        <v>-2</v>
      </c>
      <c r="L12" s="50">
        <v>-33</v>
      </c>
      <c r="M12" s="50">
        <v>-10</v>
      </c>
      <c r="N12" s="50">
        <v>-107</v>
      </c>
      <c r="O12" s="50">
        <v>53</v>
      </c>
      <c r="P12" s="50">
        <v>23</v>
      </c>
      <c r="Q12" s="50">
        <v>0</v>
      </c>
      <c r="R12" s="50">
        <v>-3</v>
      </c>
      <c r="S12" s="50">
        <v>-1</v>
      </c>
      <c r="T12" s="50">
        <v>-7</v>
      </c>
      <c r="U12" s="50">
        <v>6</v>
      </c>
      <c r="V12" s="50">
        <v>-1</v>
      </c>
      <c r="X12" s="50">
        <f t="shared" si="0"/>
        <v>-116</v>
      </c>
    </row>
    <row r="13" spans="1:24" x14ac:dyDescent="0.25">
      <c r="A13" s="77"/>
      <c r="B13" s="79"/>
      <c r="C13" s="80"/>
      <c r="D13" s="21" t="s">
        <v>7</v>
      </c>
      <c r="E13" s="50">
        <v>-3</v>
      </c>
      <c r="F13" s="50">
        <v>-11</v>
      </c>
      <c r="G13" s="50">
        <v>-5</v>
      </c>
      <c r="H13" s="50">
        <v>-10</v>
      </c>
      <c r="I13" s="50">
        <v>-11</v>
      </c>
      <c r="J13" s="50">
        <v>14</v>
      </c>
      <c r="K13" s="50">
        <v>-9</v>
      </c>
      <c r="L13" s="50">
        <v>-22</v>
      </c>
      <c r="M13" s="50">
        <v>-97</v>
      </c>
      <c r="N13" s="50">
        <v>-47</v>
      </c>
      <c r="O13" s="50">
        <v>-103</v>
      </c>
      <c r="P13" s="50">
        <v>78</v>
      </c>
      <c r="Q13" s="50">
        <v>-1</v>
      </c>
      <c r="R13" s="50">
        <v>-2</v>
      </c>
      <c r="S13" s="50">
        <v>-3</v>
      </c>
      <c r="T13" s="50">
        <v>-1</v>
      </c>
      <c r="U13" s="50">
        <v>-4</v>
      </c>
      <c r="V13" s="50">
        <v>0</v>
      </c>
      <c r="X13" s="50">
        <f t="shared" si="0"/>
        <v>-237</v>
      </c>
    </row>
    <row r="14" spans="1:24" x14ac:dyDescent="0.25">
      <c r="A14" s="77"/>
      <c r="B14" s="79"/>
      <c r="C14" s="80" t="s">
        <v>5</v>
      </c>
      <c r="D14" s="21" t="s">
        <v>11</v>
      </c>
      <c r="E14" s="50">
        <v>1</v>
      </c>
      <c r="F14" s="50">
        <v>-25</v>
      </c>
      <c r="G14" s="50">
        <v>-3</v>
      </c>
      <c r="H14" s="50">
        <v>-64</v>
      </c>
      <c r="I14" s="50">
        <v>-5</v>
      </c>
      <c r="J14" s="50">
        <v>-1</v>
      </c>
      <c r="K14" s="50">
        <v>0</v>
      </c>
      <c r="L14" s="50">
        <v>-28</v>
      </c>
      <c r="M14" s="50">
        <v>-15</v>
      </c>
      <c r="N14" s="50">
        <v>-210</v>
      </c>
      <c r="O14" s="50">
        <v>-22</v>
      </c>
      <c r="P14" s="50">
        <v>-1</v>
      </c>
      <c r="Q14" s="50">
        <v>0</v>
      </c>
      <c r="R14" s="50">
        <v>-11</v>
      </c>
      <c r="S14" s="50">
        <v>-3</v>
      </c>
      <c r="T14" s="50">
        <v>-20</v>
      </c>
      <c r="U14" s="50">
        <v>-1</v>
      </c>
      <c r="V14" s="50">
        <v>-2</v>
      </c>
      <c r="X14" s="50">
        <f t="shared" si="0"/>
        <v>-410</v>
      </c>
    </row>
    <row r="15" spans="1:24" x14ac:dyDescent="0.25">
      <c r="A15" s="77"/>
      <c r="B15" s="79"/>
      <c r="C15" s="80"/>
      <c r="D15" s="21" t="s">
        <v>6</v>
      </c>
      <c r="E15" s="50">
        <v>0</v>
      </c>
      <c r="F15" s="50">
        <v>8</v>
      </c>
      <c r="G15" s="50">
        <v>-5</v>
      </c>
      <c r="H15" s="50">
        <v>-9</v>
      </c>
      <c r="I15" s="50">
        <v>42</v>
      </c>
      <c r="J15" s="50">
        <v>6</v>
      </c>
      <c r="K15" s="50">
        <v>4</v>
      </c>
      <c r="L15" s="50">
        <v>31</v>
      </c>
      <c r="M15" s="50">
        <v>-56</v>
      </c>
      <c r="N15" s="50">
        <v>-35</v>
      </c>
      <c r="O15" s="50">
        <v>78</v>
      </c>
      <c r="P15" s="50">
        <v>22</v>
      </c>
      <c r="Q15" s="50">
        <v>-1</v>
      </c>
      <c r="R15" s="50">
        <v>2</v>
      </c>
      <c r="S15" s="50">
        <v>-6</v>
      </c>
      <c r="T15" s="50">
        <v>-2</v>
      </c>
      <c r="U15" s="50">
        <v>22</v>
      </c>
      <c r="V15" s="50">
        <v>0</v>
      </c>
      <c r="X15" s="50">
        <f t="shared" si="0"/>
        <v>101</v>
      </c>
    </row>
    <row r="16" spans="1:24" x14ac:dyDescent="0.25">
      <c r="A16" s="77"/>
      <c r="B16" s="79"/>
      <c r="C16" s="80"/>
      <c r="D16" s="21" t="s">
        <v>7</v>
      </c>
      <c r="E16" s="50">
        <v>-1</v>
      </c>
      <c r="F16" s="50">
        <v>4</v>
      </c>
      <c r="G16" s="50">
        <v>7</v>
      </c>
      <c r="H16" s="50">
        <v>-1</v>
      </c>
      <c r="I16" s="50">
        <v>2</v>
      </c>
      <c r="J16" s="50">
        <v>21</v>
      </c>
      <c r="K16" s="50">
        <v>0</v>
      </c>
      <c r="L16" s="50">
        <v>9</v>
      </c>
      <c r="M16" s="50">
        <v>40</v>
      </c>
      <c r="N16" s="50">
        <v>0</v>
      </c>
      <c r="O16" s="50">
        <v>25</v>
      </c>
      <c r="P16" s="50">
        <v>108</v>
      </c>
      <c r="Q16" s="50">
        <v>-1</v>
      </c>
      <c r="R16" s="50">
        <v>-2</v>
      </c>
      <c r="S16" s="50">
        <v>0</v>
      </c>
      <c r="T16" s="50">
        <v>-2</v>
      </c>
      <c r="U16" s="50">
        <v>0</v>
      </c>
      <c r="V16" s="50">
        <v>5</v>
      </c>
      <c r="X16" s="50">
        <f t="shared" si="0"/>
        <v>214</v>
      </c>
    </row>
    <row r="17" spans="1:24" x14ac:dyDescent="0.25">
      <c r="A17" s="77"/>
      <c r="B17" s="79" t="s">
        <v>3</v>
      </c>
      <c r="C17" s="80" t="s">
        <v>4</v>
      </c>
      <c r="D17" s="21" t="s">
        <v>11</v>
      </c>
      <c r="E17" s="50">
        <v>2</v>
      </c>
      <c r="F17" s="50">
        <v>-10</v>
      </c>
      <c r="G17" s="50">
        <v>-13</v>
      </c>
      <c r="H17" s="50">
        <v>7</v>
      </c>
      <c r="I17" s="50">
        <v>10</v>
      </c>
      <c r="J17" s="50">
        <v>-1</v>
      </c>
      <c r="K17" s="50">
        <v>0</v>
      </c>
      <c r="L17" s="50">
        <v>1</v>
      </c>
      <c r="M17" s="50">
        <v>-1</v>
      </c>
      <c r="N17" s="50">
        <v>0</v>
      </c>
      <c r="O17" s="50">
        <v>-1</v>
      </c>
      <c r="P17" s="50">
        <v>-1</v>
      </c>
      <c r="Q17" s="50">
        <v>-56</v>
      </c>
      <c r="R17" s="50">
        <v>-17</v>
      </c>
      <c r="S17" s="50">
        <v>-29</v>
      </c>
      <c r="T17" s="50">
        <v>11</v>
      </c>
      <c r="U17" s="50">
        <v>11</v>
      </c>
      <c r="V17" s="50">
        <v>0</v>
      </c>
      <c r="X17" s="50">
        <f t="shared" si="0"/>
        <v>-87</v>
      </c>
    </row>
    <row r="18" spans="1:24" x14ac:dyDescent="0.25">
      <c r="A18" s="77"/>
      <c r="B18" s="79"/>
      <c r="C18" s="80"/>
      <c r="D18" s="21" t="s">
        <v>6</v>
      </c>
      <c r="E18" s="50">
        <v>-3</v>
      </c>
      <c r="F18" s="50">
        <v>-15</v>
      </c>
      <c r="G18" s="50">
        <v>-8</v>
      </c>
      <c r="H18" s="50">
        <v>-57</v>
      </c>
      <c r="I18" s="50">
        <v>52</v>
      </c>
      <c r="J18" s="50">
        <v>4</v>
      </c>
      <c r="K18" s="50">
        <v>-1</v>
      </c>
      <c r="L18" s="50">
        <v>0</v>
      </c>
      <c r="M18" s="50">
        <v>-2</v>
      </c>
      <c r="N18" s="50">
        <v>-4</v>
      </c>
      <c r="O18" s="50">
        <v>3</v>
      </c>
      <c r="P18" s="50">
        <v>-1</v>
      </c>
      <c r="Q18" s="50">
        <v>-35</v>
      </c>
      <c r="R18" s="50">
        <v>-90</v>
      </c>
      <c r="S18" s="50">
        <v>-20</v>
      </c>
      <c r="T18" s="50">
        <v>-120</v>
      </c>
      <c r="U18" s="50">
        <v>83</v>
      </c>
      <c r="V18" s="50">
        <v>16</v>
      </c>
      <c r="X18" s="50">
        <f t="shared" si="0"/>
        <v>-198</v>
      </c>
    </row>
    <row r="19" spans="1:24" x14ac:dyDescent="0.25">
      <c r="A19" s="77"/>
      <c r="B19" s="79"/>
      <c r="C19" s="80"/>
      <c r="D19" s="21" t="s">
        <v>7</v>
      </c>
      <c r="E19" s="50">
        <v>-10</v>
      </c>
      <c r="F19" s="50">
        <v>-6</v>
      </c>
      <c r="G19" s="50">
        <v>-44</v>
      </c>
      <c r="H19" s="50">
        <v>-28</v>
      </c>
      <c r="I19" s="50">
        <v>-24</v>
      </c>
      <c r="J19" s="50">
        <v>18</v>
      </c>
      <c r="K19" s="50">
        <v>0</v>
      </c>
      <c r="L19" s="50">
        <v>-3</v>
      </c>
      <c r="M19" s="50">
        <v>-4</v>
      </c>
      <c r="N19" s="50">
        <v>-7</v>
      </c>
      <c r="O19" s="50">
        <v>-5</v>
      </c>
      <c r="P19" s="50">
        <v>1</v>
      </c>
      <c r="Q19" s="50">
        <v>-34</v>
      </c>
      <c r="R19" s="50">
        <v>-26</v>
      </c>
      <c r="S19" s="50">
        <v>-65</v>
      </c>
      <c r="T19" s="50">
        <v>-75</v>
      </c>
      <c r="U19" s="50">
        <v>-64</v>
      </c>
      <c r="V19" s="50">
        <v>32</v>
      </c>
      <c r="X19" s="50">
        <f t="shared" si="0"/>
        <v>-344</v>
      </c>
    </row>
    <row r="20" spans="1:24" x14ac:dyDescent="0.25">
      <c r="A20" s="77"/>
      <c r="B20" s="79"/>
      <c r="C20" s="80" t="s">
        <v>5</v>
      </c>
      <c r="D20" s="21" t="s">
        <v>11</v>
      </c>
      <c r="E20" s="50">
        <v>6</v>
      </c>
      <c r="F20" s="50">
        <v>-35</v>
      </c>
      <c r="G20" s="50">
        <v>-21</v>
      </c>
      <c r="H20" s="50">
        <v>-166</v>
      </c>
      <c r="I20" s="50">
        <v>-3</v>
      </c>
      <c r="J20" s="50">
        <v>-1</v>
      </c>
      <c r="K20" s="50">
        <v>-1</v>
      </c>
      <c r="L20" s="50">
        <v>-5</v>
      </c>
      <c r="M20" s="50">
        <v>-1</v>
      </c>
      <c r="N20" s="50">
        <v>-10</v>
      </c>
      <c r="O20" s="50">
        <v>1</v>
      </c>
      <c r="P20" s="50">
        <v>-2</v>
      </c>
      <c r="Q20" s="50">
        <v>-6</v>
      </c>
      <c r="R20" s="50">
        <v>-73</v>
      </c>
      <c r="S20" s="50">
        <v>-50</v>
      </c>
      <c r="T20" s="50">
        <v>-759</v>
      </c>
      <c r="U20" s="50">
        <v>-21</v>
      </c>
      <c r="V20" s="50">
        <v>0</v>
      </c>
      <c r="X20" s="50">
        <f t="shared" si="0"/>
        <v>-1147</v>
      </c>
    </row>
    <row r="21" spans="1:24" x14ac:dyDescent="0.25">
      <c r="A21" s="77"/>
      <c r="B21" s="79"/>
      <c r="C21" s="80"/>
      <c r="D21" s="21" t="s">
        <v>6</v>
      </c>
      <c r="E21" s="50">
        <v>4</v>
      </c>
      <c r="F21" s="50">
        <v>16</v>
      </c>
      <c r="G21" s="50">
        <v>-18</v>
      </c>
      <c r="H21" s="50">
        <v>-10</v>
      </c>
      <c r="I21" s="50">
        <v>205</v>
      </c>
      <c r="J21" s="50">
        <v>27</v>
      </c>
      <c r="K21" s="50">
        <v>-1</v>
      </c>
      <c r="L21" s="50">
        <v>2</v>
      </c>
      <c r="M21" s="50">
        <v>-2</v>
      </c>
      <c r="N21" s="50">
        <v>-2</v>
      </c>
      <c r="O21" s="50">
        <v>8</v>
      </c>
      <c r="P21" s="50">
        <v>0</v>
      </c>
      <c r="Q21" s="50">
        <v>7</v>
      </c>
      <c r="R21" s="50">
        <v>44</v>
      </c>
      <c r="S21" s="50">
        <v>-34</v>
      </c>
      <c r="T21" s="50">
        <v>-33</v>
      </c>
      <c r="U21" s="50">
        <v>426</v>
      </c>
      <c r="V21" s="50">
        <v>29</v>
      </c>
      <c r="X21" s="50">
        <f t="shared" si="0"/>
        <v>668</v>
      </c>
    </row>
    <row r="22" spans="1:24" x14ac:dyDescent="0.25">
      <c r="A22" s="78"/>
      <c r="B22" s="79"/>
      <c r="C22" s="80"/>
      <c r="D22" s="21" t="s">
        <v>7</v>
      </c>
      <c r="E22" s="51">
        <v>-2</v>
      </c>
      <c r="F22" s="51">
        <v>0</v>
      </c>
      <c r="G22" s="51">
        <v>10</v>
      </c>
      <c r="H22" s="51">
        <v>-2</v>
      </c>
      <c r="I22" s="51">
        <v>10</v>
      </c>
      <c r="J22" s="51">
        <v>41</v>
      </c>
      <c r="K22" s="51">
        <v>-1</v>
      </c>
      <c r="L22" s="51">
        <v>-1</v>
      </c>
      <c r="M22" s="51">
        <v>0</v>
      </c>
      <c r="N22" s="51">
        <v>-2</v>
      </c>
      <c r="O22" s="51">
        <v>0</v>
      </c>
      <c r="P22" s="51">
        <v>4</v>
      </c>
      <c r="Q22" s="51">
        <v>-2</v>
      </c>
      <c r="R22" s="51">
        <v>8</v>
      </c>
      <c r="S22" s="51">
        <v>25</v>
      </c>
      <c r="T22" s="51">
        <v>0</v>
      </c>
      <c r="U22" s="51">
        <v>15</v>
      </c>
      <c r="V22" s="51">
        <v>72</v>
      </c>
      <c r="X22" s="50">
        <f t="shared" si="0"/>
        <v>175</v>
      </c>
    </row>
    <row r="23" spans="1:24" ht="9.75" customHeight="1" x14ac:dyDescent="0.25"/>
    <row r="24" spans="1:24" ht="27.75" customHeight="1" x14ac:dyDescent="0.25">
      <c r="B24" s="81" t="s">
        <v>21</v>
      </c>
      <c r="C24" s="81"/>
      <c r="D24" s="81"/>
      <c r="E24" s="50">
        <f>SUM(E5:E23)</f>
        <v>-349</v>
      </c>
      <c r="F24" s="50">
        <f t="shared" ref="F24:V24" si="1">SUM(F5:F22)</f>
        <v>-638</v>
      </c>
      <c r="G24" s="50">
        <f t="shared" si="1"/>
        <v>-1909</v>
      </c>
      <c r="H24" s="50">
        <f t="shared" si="1"/>
        <v>-4953</v>
      </c>
      <c r="I24" s="50">
        <f t="shared" si="1"/>
        <v>3033</v>
      </c>
      <c r="J24" s="50">
        <f t="shared" si="1"/>
        <v>2542</v>
      </c>
      <c r="K24" s="50">
        <f t="shared" si="1"/>
        <v>-17</v>
      </c>
      <c r="L24" s="50">
        <f t="shared" si="1"/>
        <v>-42</v>
      </c>
      <c r="M24" s="50">
        <f t="shared" si="1"/>
        <v>-169</v>
      </c>
      <c r="N24" s="50">
        <f t="shared" si="1"/>
        <v>-460</v>
      </c>
      <c r="O24" s="50">
        <f t="shared" si="1"/>
        <v>94</v>
      </c>
      <c r="P24" s="50">
        <f t="shared" si="1"/>
        <v>264</v>
      </c>
      <c r="Q24" s="50">
        <f t="shared" si="1"/>
        <v>-138</v>
      </c>
      <c r="R24" s="50">
        <f t="shared" si="1"/>
        <v>-173</v>
      </c>
      <c r="S24" s="50">
        <f t="shared" si="1"/>
        <v>-270</v>
      </c>
      <c r="T24" s="50">
        <f t="shared" si="1"/>
        <v>-1437</v>
      </c>
      <c r="U24" s="50">
        <f t="shared" si="1"/>
        <v>761</v>
      </c>
      <c r="V24" s="50">
        <f t="shared" si="1"/>
        <v>319</v>
      </c>
      <c r="X24" s="50">
        <f t="shared" si="0"/>
        <v>-3542</v>
      </c>
    </row>
  </sheetData>
  <mergeCells count="22">
    <mergeCell ref="C20:C22"/>
    <mergeCell ref="B24:D24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E1:V1"/>
    <mergeCell ref="E2:J2"/>
    <mergeCell ref="K2:P2"/>
    <mergeCell ref="Q2:V2"/>
    <mergeCell ref="X2:X4"/>
    <mergeCell ref="E3:G3"/>
    <mergeCell ref="H3:J3"/>
    <mergeCell ref="K3:M3"/>
    <mergeCell ref="N3:P3"/>
    <mergeCell ref="Q3:S3"/>
  </mergeCells>
  <conditionalFormatting sqref="E5:V22">
    <cfRule type="cellIs" dxfId="29" priority="5" operator="lessThan">
      <formula>0</formula>
    </cfRule>
    <cfRule type="cellIs" dxfId="28" priority="6" operator="greaterThan">
      <formula>0</formula>
    </cfRule>
  </conditionalFormatting>
  <conditionalFormatting sqref="E24:V24">
    <cfRule type="cellIs" dxfId="27" priority="2" operator="lessThan">
      <formula>0</formula>
    </cfRule>
    <cfRule type="cellIs" dxfId="26" priority="3" operator="greaterThan">
      <formula>0</formula>
    </cfRule>
  </conditionalFormatting>
  <conditionalFormatting sqref="X5:X24">
    <cfRule type="cellIs" dxfId="25" priority="1" operator="lessThan">
      <formula>0</formula>
    </cfRule>
    <cfRule type="cellIs" dxfId="24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9C8F-DFD5-4109-B3FD-0A3C5A3E76DE}">
  <dimension ref="A1:X24"/>
  <sheetViews>
    <sheetView showGridLines="0" workbookViewId="0">
      <selection activeCell="X5" sqref="X5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22" width="9.140625" style="11"/>
    <col min="23" max="23" width="1.7109375" style="11" customWidth="1"/>
    <col min="24" max="24" width="14.85546875" style="50" customWidth="1"/>
    <col min="25" max="16384" width="9.140625" style="11"/>
  </cols>
  <sheetData>
    <row r="1" spans="1:24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4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  <c r="X2" s="81" t="s">
        <v>20</v>
      </c>
    </row>
    <row r="3" spans="1:24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  <c r="X3" s="81"/>
    </row>
    <row r="4" spans="1:24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  <c r="X4" s="81"/>
    </row>
    <row r="5" spans="1:24" x14ac:dyDescent="0.25">
      <c r="A5" s="76" t="s">
        <v>12</v>
      </c>
      <c r="B5" s="79" t="s">
        <v>1</v>
      </c>
      <c r="C5" s="80" t="s">
        <v>4</v>
      </c>
      <c r="D5" s="19" t="s">
        <v>13</v>
      </c>
      <c r="E5" s="49">
        <v>-77</v>
      </c>
      <c r="F5" s="49">
        <v>8</v>
      </c>
      <c r="G5" s="49">
        <v>-14</v>
      </c>
      <c r="H5" s="49">
        <v>-17</v>
      </c>
      <c r="I5" s="49">
        <v>1</v>
      </c>
      <c r="J5" s="49">
        <v>1</v>
      </c>
      <c r="K5" s="49">
        <v>-1</v>
      </c>
      <c r="L5" s="49">
        <v>1</v>
      </c>
      <c r="M5" s="49">
        <v>0</v>
      </c>
      <c r="N5" s="49">
        <v>0</v>
      </c>
      <c r="O5" s="49">
        <v>1</v>
      </c>
      <c r="P5" s="49">
        <v>1</v>
      </c>
      <c r="Q5" s="49">
        <v>0</v>
      </c>
      <c r="R5" s="49">
        <v>0</v>
      </c>
      <c r="S5" s="49">
        <v>2</v>
      </c>
      <c r="T5" s="49">
        <v>2</v>
      </c>
      <c r="U5" s="49">
        <v>2</v>
      </c>
      <c r="V5" s="49">
        <v>1</v>
      </c>
      <c r="X5" s="50">
        <f>SUM(E5:V5)</f>
        <v>-89</v>
      </c>
    </row>
    <row r="6" spans="1:24" x14ac:dyDescent="0.25">
      <c r="A6" s="77"/>
      <c r="B6" s="79"/>
      <c r="C6" s="80"/>
      <c r="D6" s="19" t="s">
        <v>14</v>
      </c>
      <c r="E6" s="50">
        <v>11</v>
      </c>
      <c r="F6" s="50">
        <v>211</v>
      </c>
      <c r="G6" s="50">
        <v>41</v>
      </c>
      <c r="H6" s="50">
        <v>74</v>
      </c>
      <c r="I6" s="50">
        <v>81</v>
      </c>
      <c r="J6" s="50">
        <v>1</v>
      </c>
      <c r="K6" s="50">
        <v>0</v>
      </c>
      <c r="L6" s="50">
        <v>0</v>
      </c>
      <c r="M6" s="50">
        <v>1</v>
      </c>
      <c r="N6" s="50">
        <v>1</v>
      </c>
      <c r="O6" s="50">
        <v>1</v>
      </c>
      <c r="P6" s="50">
        <v>1</v>
      </c>
      <c r="Q6" s="50">
        <v>2</v>
      </c>
      <c r="R6" s="50">
        <v>7</v>
      </c>
      <c r="S6" s="50">
        <v>4</v>
      </c>
      <c r="T6" s="50">
        <v>22</v>
      </c>
      <c r="U6" s="50">
        <v>3</v>
      </c>
      <c r="V6" s="50">
        <v>2</v>
      </c>
      <c r="X6" s="50">
        <f t="shared" ref="X6:X24" si="0">SUM(E6:V6)</f>
        <v>463</v>
      </c>
    </row>
    <row r="7" spans="1:24" x14ac:dyDescent="0.25">
      <c r="A7" s="77"/>
      <c r="B7" s="79"/>
      <c r="C7" s="80"/>
      <c r="D7" s="19" t="s">
        <v>15</v>
      </c>
      <c r="E7" s="50">
        <v>18</v>
      </c>
      <c r="F7" s="50">
        <v>52</v>
      </c>
      <c r="G7" s="50">
        <v>253</v>
      </c>
      <c r="H7" s="50">
        <v>78</v>
      </c>
      <c r="I7" s="50">
        <v>293</v>
      </c>
      <c r="J7" s="50">
        <v>1</v>
      </c>
      <c r="K7" s="50">
        <v>0</v>
      </c>
      <c r="L7" s="50">
        <v>1</v>
      </c>
      <c r="M7" s="50">
        <v>1</v>
      </c>
      <c r="N7" s="50">
        <v>1</v>
      </c>
      <c r="O7" s="50">
        <v>1</v>
      </c>
      <c r="P7" s="50">
        <v>1</v>
      </c>
      <c r="Q7" s="50">
        <v>2</v>
      </c>
      <c r="R7" s="50">
        <v>6</v>
      </c>
      <c r="S7" s="50">
        <v>20</v>
      </c>
      <c r="T7" s="50">
        <v>22</v>
      </c>
      <c r="U7" s="50">
        <v>25</v>
      </c>
      <c r="V7" s="50">
        <v>2</v>
      </c>
      <c r="X7" s="50">
        <f t="shared" si="0"/>
        <v>777</v>
      </c>
    </row>
    <row r="8" spans="1:24" x14ac:dyDescent="0.25">
      <c r="A8" s="77"/>
      <c r="B8" s="79"/>
      <c r="C8" s="80" t="s">
        <v>5</v>
      </c>
      <c r="D8" s="21" t="s">
        <v>11</v>
      </c>
      <c r="E8" s="50">
        <v>-3</v>
      </c>
      <c r="F8" s="50">
        <v>55</v>
      </c>
      <c r="G8" s="50">
        <v>10</v>
      </c>
      <c r="H8" s="50">
        <v>-57</v>
      </c>
      <c r="I8" s="50">
        <v>102</v>
      </c>
      <c r="J8" s="50">
        <v>0</v>
      </c>
      <c r="K8" s="50">
        <v>1</v>
      </c>
      <c r="L8" s="50">
        <v>0</v>
      </c>
      <c r="M8" s="50">
        <v>0</v>
      </c>
      <c r="N8" s="50">
        <v>0</v>
      </c>
      <c r="O8" s="50">
        <v>0</v>
      </c>
      <c r="P8" s="50">
        <v>1</v>
      </c>
      <c r="Q8" s="50">
        <v>1</v>
      </c>
      <c r="R8" s="50">
        <v>3</v>
      </c>
      <c r="S8" s="50">
        <v>3</v>
      </c>
      <c r="T8" s="50">
        <v>64</v>
      </c>
      <c r="U8" s="50">
        <v>10</v>
      </c>
      <c r="V8" s="50">
        <v>2</v>
      </c>
      <c r="X8" s="50">
        <f t="shared" si="0"/>
        <v>192</v>
      </c>
    </row>
    <row r="9" spans="1:24" x14ac:dyDescent="0.25">
      <c r="A9" s="77"/>
      <c r="B9" s="79"/>
      <c r="C9" s="80"/>
      <c r="D9" s="21" t="s">
        <v>6</v>
      </c>
      <c r="E9" s="50">
        <v>2</v>
      </c>
      <c r="F9" s="50">
        <v>34</v>
      </c>
      <c r="G9" s="50">
        <v>188</v>
      </c>
      <c r="H9" s="50">
        <v>75</v>
      </c>
      <c r="I9" s="50">
        <v>885</v>
      </c>
      <c r="J9" s="50">
        <v>1</v>
      </c>
      <c r="K9" s="50">
        <v>1</v>
      </c>
      <c r="L9" s="50">
        <v>1</v>
      </c>
      <c r="M9" s="50">
        <v>1</v>
      </c>
      <c r="N9" s="50">
        <v>2</v>
      </c>
      <c r="O9" s="50">
        <v>2</v>
      </c>
      <c r="P9" s="50">
        <v>2</v>
      </c>
      <c r="Q9" s="50">
        <v>1</v>
      </c>
      <c r="R9" s="50">
        <v>7</v>
      </c>
      <c r="S9" s="50">
        <v>16</v>
      </c>
      <c r="T9" s="50">
        <v>26</v>
      </c>
      <c r="U9" s="50">
        <v>76</v>
      </c>
      <c r="V9" s="50">
        <v>2</v>
      </c>
      <c r="X9" s="50">
        <f t="shared" si="0"/>
        <v>1322</v>
      </c>
    </row>
    <row r="10" spans="1:24" x14ac:dyDescent="0.25">
      <c r="A10" s="77"/>
      <c r="B10" s="79"/>
      <c r="C10" s="80"/>
      <c r="D10" s="21" t="s">
        <v>7</v>
      </c>
      <c r="E10" s="50">
        <v>1</v>
      </c>
      <c r="F10" s="50">
        <v>1</v>
      </c>
      <c r="G10" s="50">
        <v>0</v>
      </c>
      <c r="H10" s="50">
        <v>1</v>
      </c>
      <c r="I10" s="50">
        <v>2</v>
      </c>
      <c r="J10" s="50">
        <v>1</v>
      </c>
      <c r="K10" s="50">
        <v>1</v>
      </c>
      <c r="L10" s="50">
        <v>1</v>
      </c>
      <c r="M10" s="50">
        <v>1</v>
      </c>
      <c r="N10" s="50">
        <v>1</v>
      </c>
      <c r="O10" s="50">
        <v>1</v>
      </c>
      <c r="P10" s="50">
        <v>2</v>
      </c>
      <c r="Q10" s="50">
        <v>1</v>
      </c>
      <c r="R10" s="50">
        <v>1</v>
      </c>
      <c r="S10" s="50">
        <v>2</v>
      </c>
      <c r="T10" s="50">
        <v>2</v>
      </c>
      <c r="U10" s="50">
        <v>2</v>
      </c>
      <c r="V10" s="50">
        <v>2</v>
      </c>
      <c r="X10" s="50">
        <f t="shared" si="0"/>
        <v>23</v>
      </c>
    </row>
    <row r="11" spans="1:24" x14ac:dyDescent="0.25">
      <c r="A11" s="77"/>
      <c r="B11" s="79" t="s">
        <v>2</v>
      </c>
      <c r="C11" s="80" t="s">
        <v>4</v>
      </c>
      <c r="D11" s="21" t="s">
        <v>11</v>
      </c>
      <c r="E11" s="50">
        <v>-2</v>
      </c>
      <c r="F11" s="50">
        <v>1</v>
      </c>
      <c r="G11" s="50">
        <v>-1</v>
      </c>
      <c r="H11" s="50">
        <v>-1</v>
      </c>
      <c r="I11" s="50">
        <v>1</v>
      </c>
      <c r="J11" s="50">
        <v>1</v>
      </c>
      <c r="K11" s="50">
        <v>-17</v>
      </c>
      <c r="L11" s="50">
        <v>-4</v>
      </c>
      <c r="M11" s="50">
        <v>-5</v>
      </c>
      <c r="N11" s="50">
        <v>-4</v>
      </c>
      <c r="O11" s="50">
        <v>1</v>
      </c>
      <c r="P11" s="50">
        <v>1</v>
      </c>
      <c r="Q11" s="50">
        <v>-1</v>
      </c>
      <c r="R11" s="50">
        <v>0</v>
      </c>
      <c r="S11" s="50">
        <v>1</v>
      </c>
      <c r="T11" s="50">
        <v>0</v>
      </c>
      <c r="U11" s="50">
        <v>0</v>
      </c>
      <c r="V11" s="50">
        <v>1</v>
      </c>
      <c r="X11" s="50">
        <f t="shared" si="0"/>
        <v>-28</v>
      </c>
    </row>
    <row r="12" spans="1:24" x14ac:dyDescent="0.25">
      <c r="A12" s="77"/>
      <c r="B12" s="79"/>
      <c r="C12" s="80"/>
      <c r="D12" s="21" t="s">
        <v>6</v>
      </c>
      <c r="E12" s="50">
        <v>0</v>
      </c>
      <c r="F12" s="50">
        <v>5</v>
      </c>
      <c r="G12" s="50">
        <v>1</v>
      </c>
      <c r="H12" s="50">
        <v>1</v>
      </c>
      <c r="I12" s="50">
        <v>2</v>
      </c>
      <c r="J12" s="50">
        <v>1</v>
      </c>
      <c r="K12" s="50">
        <v>-2</v>
      </c>
      <c r="L12" s="50">
        <v>1</v>
      </c>
      <c r="M12" s="50">
        <v>1</v>
      </c>
      <c r="N12" s="50">
        <v>8</v>
      </c>
      <c r="O12" s="50">
        <v>5</v>
      </c>
      <c r="P12" s="50">
        <v>1</v>
      </c>
      <c r="Q12" s="50">
        <v>0</v>
      </c>
      <c r="R12" s="50">
        <v>2</v>
      </c>
      <c r="S12" s="50">
        <v>1</v>
      </c>
      <c r="T12" s="50">
        <v>2</v>
      </c>
      <c r="U12" s="50">
        <v>2</v>
      </c>
      <c r="V12" s="50">
        <v>2</v>
      </c>
      <c r="X12" s="50">
        <f t="shared" si="0"/>
        <v>33</v>
      </c>
    </row>
    <row r="13" spans="1:24" x14ac:dyDescent="0.25">
      <c r="A13" s="77"/>
      <c r="B13" s="79"/>
      <c r="C13" s="80"/>
      <c r="D13" s="21" t="s">
        <v>7</v>
      </c>
      <c r="E13" s="50">
        <v>0</v>
      </c>
      <c r="F13" s="50">
        <v>3</v>
      </c>
      <c r="G13" s="50">
        <v>2</v>
      </c>
      <c r="H13" s="50">
        <v>1</v>
      </c>
      <c r="I13" s="50">
        <v>5</v>
      </c>
      <c r="J13" s="50">
        <v>2</v>
      </c>
      <c r="K13" s="50">
        <v>-2</v>
      </c>
      <c r="L13" s="50">
        <v>2</v>
      </c>
      <c r="M13" s="50">
        <v>21</v>
      </c>
      <c r="N13" s="50">
        <v>6</v>
      </c>
      <c r="O13" s="50">
        <v>20</v>
      </c>
      <c r="P13" s="50">
        <v>1</v>
      </c>
      <c r="Q13" s="50">
        <v>0</v>
      </c>
      <c r="R13" s="50">
        <v>1</v>
      </c>
      <c r="S13" s="50">
        <v>2</v>
      </c>
      <c r="T13" s="50">
        <v>1</v>
      </c>
      <c r="U13" s="50">
        <v>2</v>
      </c>
      <c r="V13" s="50">
        <v>2</v>
      </c>
      <c r="X13" s="50">
        <f t="shared" si="0"/>
        <v>69</v>
      </c>
    </row>
    <row r="14" spans="1:24" x14ac:dyDescent="0.25">
      <c r="A14" s="77"/>
      <c r="B14" s="79"/>
      <c r="C14" s="80" t="s">
        <v>5</v>
      </c>
      <c r="D14" s="21" t="s">
        <v>11</v>
      </c>
      <c r="E14" s="50">
        <v>0</v>
      </c>
      <c r="F14" s="50">
        <v>5</v>
      </c>
      <c r="G14" s="50">
        <v>0</v>
      </c>
      <c r="H14" s="50">
        <v>5</v>
      </c>
      <c r="I14" s="50">
        <v>4</v>
      </c>
      <c r="J14" s="50">
        <v>1</v>
      </c>
      <c r="K14" s="50">
        <v>-1</v>
      </c>
      <c r="L14" s="50">
        <v>1</v>
      </c>
      <c r="M14" s="50">
        <v>1</v>
      </c>
      <c r="N14" s="50">
        <v>21</v>
      </c>
      <c r="O14" s="50">
        <v>5</v>
      </c>
      <c r="P14" s="50">
        <v>1</v>
      </c>
      <c r="Q14" s="50">
        <v>0</v>
      </c>
      <c r="R14" s="50">
        <v>2</v>
      </c>
      <c r="S14" s="50">
        <v>1</v>
      </c>
      <c r="T14" s="50">
        <v>6</v>
      </c>
      <c r="U14" s="50">
        <v>2</v>
      </c>
      <c r="V14" s="50">
        <v>2</v>
      </c>
      <c r="X14" s="50">
        <f t="shared" si="0"/>
        <v>56</v>
      </c>
    </row>
    <row r="15" spans="1:24" x14ac:dyDescent="0.25">
      <c r="A15" s="77"/>
      <c r="B15" s="79"/>
      <c r="C15" s="80"/>
      <c r="D15" s="21" t="s">
        <v>6</v>
      </c>
      <c r="E15" s="50">
        <v>1</v>
      </c>
      <c r="F15" s="50">
        <v>1</v>
      </c>
      <c r="G15" s="50">
        <v>1</v>
      </c>
      <c r="H15" s="50">
        <v>2</v>
      </c>
      <c r="I15" s="50">
        <v>8</v>
      </c>
      <c r="J15" s="50">
        <v>2</v>
      </c>
      <c r="K15" s="50">
        <v>0</v>
      </c>
      <c r="L15" s="50">
        <v>1</v>
      </c>
      <c r="M15" s="50">
        <v>10</v>
      </c>
      <c r="N15" s="50">
        <v>7</v>
      </c>
      <c r="O15" s="50">
        <v>28</v>
      </c>
      <c r="P15" s="50">
        <v>2</v>
      </c>
      <c r="Q15" s="50">
        <v>1</v>
      </c>
      <c r="R15" s="50">
        <v>0</v>
      </c>
      <c r="S15" s="50">
        <v>2</v>
      </c>
      <c r="T15" s="50">
        <v>1</v>
      </c>
      <c r="U15" s="50">
        <v>4</v>
      </c>
      <c r="V15" s="50">
        <v>2</v>
      </c>
      <c r="X15" s="50">
        <f t="shared" si="0"/>
        <v>73</v>
      </c>
    </row>
    <row r="16" spans="1:24" x14ac:dyDescent="0.25">
      <c r="A16" s="77"/>
      <c r="B16" s="79"/>
      <c r="C16" s="80"/>
      <c r="D16" s="21" t="s">
        <v>7</v>
      </c>
      <c r="E16" s="50">
        <v>1</v>
      </c>
      <c r="F16" s="50">
        <v>2</v>
      </c>
      <c r="G16" s="50">
        <v>1</v>
      </c>
      <c r="H16" s="50">
        <v>1</v>
      </c>
      <c r="I16" s="50">
        <v>2</v>
      </c>
      <c r="J16" s="50">
        <v>2</v>
      </c>
      <c r="K16" s="50">
        <v>1</v>
      </c>
      <c r="L16" s="50">
        <v>1</v>
      </c>
      <c r="M16" s="50">
        <v>1</v>
      </c>
      <c r="N16" s="50">
        <v>1</v>
      </c>
      <c r="O16" s="50">
        <v>1</v>
      </c>
      <c r="P16" s="50">
        <v>2</v>
      </c>
      <c r="Q16" s="50">
        <v>1</v>
      </c>
      <c r="R16" s="50">
        <v>2</v>
      </c>
      <c r="S16" s="50">
        <v>2</v>
      </c>
      <c r="T16" s="50">
        <v>2</v>
      </c>
      <c r="U16" s="50">
        <v>2</v>
      </c>
      <c r="V16" s="50">
        <v>2</v>
      </c>
      <c r="X16" s="50">
        <f t="shared" si="0"/>
        <v>27</v>
      </c>
    </row>
    <row r="17" spans="1:24" x14ac:dyDescent="0.25">
      <c r="A17" s="77"/>
      <c r="B17" s="79" t="s">
        <v>3</v>
      </c>
      <c r="C17" s="80" t="s">
        <v>4</v>
      </c>
      <c r="D17" s="21" t="s">
        <v>11</v>
      </c>
      <c r="E17" s="50">
        <v>0</v>
      </c>
      <c r="F17" s="50">
        <v>3</v>
      </c>
      <c r="G17" s="50">
        <v>1</v>
      </c>
      <c r="H17" s="50">
        <v>0</v>
      </c>
      <c r="I17" s="50">
        <v>1</v>
      </c>
      <c r="J17" s="50">
        <v>1</v>
      </c>
      <c r="K17" s="50">
        <v>0</v>
      </c>
      <c r="L17" s="50">
        <v>0</v>
      </c>
      <c r="M17" s="50">
        <v>0</v>
      </c>
      <c r="N17" s="50">
        <v>0</v>
      </c>
      <c r="O17" s="50">
        <v>1</v>
      </c>
      <c r="P17" s="50">
        <v>1</v>
      </c>
      <c r="Q17" s="50">
        <v>12</v>
      </c>
      <c r="R17" s="50">
        <v>5</v>
      </c>
      <c r="S17" s="50">
        <v>7</v>
      </c>
      <c r="T17" s="50">
        <v>4</v>
      </c>
      <c r="U17" s="50">
        <v>2</v>
      </c>
      <c r="V17" s="50">
        <v>2</v>
      </c>
      <c r="X17" s="50">
        <f t="shared" si="0"/>
        <v>40</v>
      </c>
    </row>
    <row r="18" spans="1:24" x14ac:dyDescent="0.25">
      <c r="A18" s="77"/>
      <c r="B18" s="79"/>
      <c r="C18" s="80"/>
      <c r="D18" s="21" t="s">
        <v>6</v>
      </c>
      <c r="E18" s="50">
        <v>1</v>
      </c>
      <c r="F18" s="50">
        <v>14</v>
      </c>
      <c r="G18" s="50">
        <v>2</v>
      </c>
      <c r="H18" s="50">
        <v>8</v>
      </c>
      <c r="I18" s="50">
        <v>5</v>
      </c>
      <c r="J18" s="50">
        <v>2</v>
      </c>
      <c r="K18" s="50">
        <v>1</v>
      </c>
      <c r="L18" s="50">
        <v>0</v>
      </c>
      <c r="M18" s="50">
        <v>0</v>
      </c>
      <c r="N18" s="50">
        <v>1</v>
      </c>
      <c r="O18" s="50">
        <v>1</v>
      </c>
      <c r="P18" s="50">
        <v>1</v>
      </c>
      <c r="Q18" s="50">
        <v>11</v>
      </c>
      <c r="R18" s="50">
        <v>54</v>
      </c>
      <c r="S18" s="50">
        <v>20</v>
      </c>
      <c r="T18" s="50">
        <v>45</v>
      </c>
      <c r="U18" s="50">
        <v>9</v>
      </c>
      <c r="V18" s="50">
        <v>2</v>
      </c>
      <c r="X18" s="50">
        <f t="shared" si="0"/>
        <v>177</v>
      </c>
    </row>
    <row r="19" spans="1:24" x14ac:dyDescent="0.25">
      <c r="A19" s="77"/>
      <c r="B19" s="79"/>
      <c r="C19" s="80"/>
      <c r="D19" s="21" t="s">
        <v>7</v>
      </c>
      <c r="E19" s="50">
        <v>2</v>
      </c>
      <c r="F19" s="50">
        <v>3</v>
      </c>
      <c r="G19" s="50">
        <v>16</v>
      </c>
      <c r="H19" s="50">
        <v>7</v>
      </c>
      <c r="I19" s="50">
        <v>13</v>
      </c>
      <c r="J19" s="50">
        <v>2</v>
      </c>
      <c r="K19" s="50">
        <v>0</v>
      </c>
      <c r="L19" s="50">
        <v>1</v>
      </c>
      <c r="M19" s="50">
        <v>2</v>
      </c>
      <c r="N19" s="50">
        <v>2</v>
      </c>
      <c r="O19" s="50">
        <v>2</v>
      </c>
      <c r="P19" s="50">
        <v>2</v>
      </c>
      <c r="Q19" s="50">
        <v>11</v>
      </c>
      <c r="R19" s="50">
        <v>14</v>
      </c>
      <c r="S19" s="50">
        <v>64</v>
      </c>
      <c r="T19" s="50">
        <v>32</v>
      </c>
      <c r="U19" s="50">
        <v>40</v>
      </c>
      <c r="V19" s="50">
        <v>2</v>
      </c>
      <c r="X19" s="50">
        <f t="shared" si="0"/>
        <v>215</v>
      </c>
    </row>
    <row r="20" spans="1:24" x14ac:dyDescent="0.25">
      <c r="A20" s="77"/>
      <c r="B20" s="79"/>
      <c r="C20" s="80" t="s">
        <v>5</v>
      </c>
      <c r="D20" s="21" t="s">
        <v>11</v>
      </c>
      <c r="E20" s="50">
        <v>1</v>
      </c>
      <c r="F20" s="50">
        <v>11</v>
      </c>
      <c r="G20" s="50">
        <v>5</v>
      </c>
      <c r="H20" s="50">
        <v>40</v>
      </c>
      <c r="I20" s="50">
        <v>11</v>
      </c>
      <c r="J20" s="50">
        <v>2</v>
      </c>
      <c r="K20" s="50">
        <v>1</v>
      </c>
      <c r="L20" s="50">
        <v>1</v>
      </c>
      <c r="M20" s="50">
        <v>1</v>
      </c>
      <c r="N20" s="50">
        <v>2</v>
      </c>
      <c r="O20" s="50">
        <v>1</v>
      </c>
      <c r="P20" s="50">
        <v>2</v>
      </c>
      <c r="Q20" s="50">
        <v>4</v>
      </c>
      <c r="R20" s="50">
        <v>25</v>
      </c>
      <c r="S20" s="50">
        <v>20</v>
      </c>
      <c r="T20" s="50">
        <v>316</v>
      </c>
      <c r="U20" s="50">
        <v>27</v>
      </c>
      <c r="V20" s="50">
        <v>2</v>
      </c>
      <c r="X20" s="50">
        <f t="shared" si="0"/>
        <v>472</v>
      </c>
    </row>
    <row r="21" spans="1:24" x14ac:dyDescent="0.25">
      <c r="A21" s="77"/>
      <c r="B21" s="79"/>
      <c r="C21" s="80"/>
      <c r="D21" s="21" t="s">
        <v>6</v>
      </c>
      <c r="E21" s="50">
        <v>2</v>
      </c>
      <c r="F21" s="50">
        <v>5</v>
      </c>
      <c r="G21" s="50">
        <v>9</v>
      </c>
      <c r="H21" s="50">
        <v>6</v>
      </c>
      <c r="I21" s="50">
        <v>17</v>
      </c>
      <c r="J21" s="50">
        <v>2</v>
      </c>
      <c r="K21" s="50">
        <v>1</v>
      </c>
      <c r="L21" s="50">
        <v>2</v>
      </c>
      <c r="M21" s="50">
        <v>2</v>
      </c>
      <c r="N21" s="50">
        <v>1</v>
      </c>
      <c r="O21" s="50">
        <v>2</v>
      </c>
      <c r="P21" s="50">
        <v>2</v>
      </c>
      <c r="Q21" s="50">
        <v>1</v>
      </c>
      <c r="R21" s="50">
        <v>9</v>
      </c>
      <c r="S21" s="50">
        <v>23</v>
      </c>
      <c r="T21" s="50">
        <v>28</v>
      </c>
      <c r="U21" s="50">
        <v>109</v>
      </c>
      <c r="V21" s="50">
        <v>3</v>
      </c>
      <c r="X21" s="50">
        <f t="shared" si="0"/>
        <v>224</v>
      </c>
    </row>
    <row r="22" spans="1:24" x14ac:dyDescent="0.25">
      <c r="A22" s="78"/>
      <c r="B22" s="79"/>
      <c r="C22" s="80"/>
      <c r="D22" s="21" t="s">
        <v>7</v>
      </c>
      <c r="E22" s="51">
        <v>2</v>
      </c>
      <c r="F22" s="51">
        <v>2</v>
      </c>
      <c r="G22" s="51">
        <v>2</v>
      </c>
      <c r="H22" s="51">
        <v>2</v>
      </c>
      <c r="I22" s="51">
        <v>2</v>
      </c>
      <c r="J22" s="51">
        <v>2</v>
      </c>
      <c r="K22" s="51">
        <v>1</v>
      </c>
      <c r="L22" s="51">
        <v>1</v>
      </c>
      <c r="M22" s="51">
        <v>2</v>
      </c>
      <c r="N22" s="51">
        <v>2</v>
      </c>
      <c r="O22" s="51">
        <v>2</v>
      </c>
      <c r="P22" s="51">
        <v>2</v>
      </c>
      <c r="Q22" s="51">
        <v>2</v>
      </c>
      <c r="R22" s="51">
        <v>2</v>
      </c>
      <c r="S22" s="51">
        <v>2</v>
      </c>
      <c r="T22" s="51">
        <v>2</v>
      </c>
      <c r="U22" s="51">
        <v>3</v>
      </c>
      <c r="V22" s="51">
        <v>2</v>
      </c>
      <c r="X22" s="50">
        <f t="shared" si="0"/>
        <v>35</v>
      </c>
    </row>
    <row r="23" spans="1:24" ht="9.75" customHeight="1" x14ac:dyDescent="0.25"/>
    <row r="24" spans="1:24" ht="27.75" customHeight="1" x14ac:dyDescent="0.25">
      <c r="B24" s="81" t="s">
        <v>21</v>
      </c>
      <c r="C24" s="81"/>
      <c r="D24" s="81"/>
      <c r="E24" s="50">
        <f>SUM(E5:E23)</f>
        <v>-40</v>
      </c>
      <c r="F24" s="50">
        <f t="shared" ref="F24:V24" si="1">SUM(F5:F22)</f>
        <v>416</v>
      </c>
      <c r="G24" s="50">
        <f t="shared" si="1"/>
        <v>517</v>
      </c>
      <c r="H24" s="50">
        <f t="shared" si="1"/>
        <v>226</v>
      </c>
      <c r="I24" s="50">
        <f t="shared" si="1"/>
        <v>1435</v>
      </c>
      <c r="J24" s="50">
        <f t="shared" si="1"/>
        <v>25</v>
      </c>
      <c r="K24" s="50">
        <f t="shared" si="1"/>
        <v>-15</v>
      </c>
      <c r="L24" s="50">
        <f t="shared" si="1"/>
        <v>11</v>
      </c>
      <c r="M24" s="50">
        <f t="shared" si="1"/>
        <v>40</v>
      </c>
      <c r="N24" s="50">
        <f t="shared" si="1"/>
        <v>52</v>
      </c>
      <c r="O24" s="50">
        <f t="shared" si="1"/>
        <v>75</v>
      </c>
      <c r="P24" s="50">
        <f t="shared" si="1"/>
        <v>26</v>
      </c>
      <c r="Q24" s="50">
        <f t="shared" si="1"/>
        <v>49</v>
      </c>
      <c r="R24" s="50">
        <f t="shared" si="1"/>
        <v>140</v>
      </c>
      <c r="S24" s="50">
        <f t="shared" si="1"/>
        <v>192</v>
      </c>
      <c r="T24" s="50">
        <f t="shared" si="1"/>
        <v>577</v>
      </c>
      <c r="U24" s="50">
        <f t="shared" si="1"/>
        <v>320</v>
      </c>
      <c r="V24" s="50">
        <f t="shared" si="1"/>
        <v>35</v>
      </c>
      <c r="X24" s="50">
        <f t="shared" si="0"/>
        <v>4081</v>
      </c>
    </row>
  </sheetData>
  <mergeCells count="22">
    <mergeCell ref="X2:X4"/>
    <mergeCell ref="B24:D24"/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</mergeCells>
  <conditionalFormatting sqref="E5:V22">
    <cfRule type="cellIs" dxfId="23" priority="5" operator="lessThan">
      <formula>0</formula>
    </cfRule>
    <cfRule type="cellIs" dxfId="22" priority="6" operator="greaterThan">
      <formula>0</formula>
    </cfRule>
  </conditionalFormatting>
  <conditionalFormatting sqref="E24:V24">
    <cfRule type="cellIs" dxfId="21" priority="2" operator="lessThan">
      <formula>0</formula>
    </cfRule>
    <cfRule type="cellIs" dxfId="20" priority="3" operator="greaterThan">
      <formula>0</formula>
    </cfRule>
  </conditionalFormatting>
  <conditionalFormatting sqref="X5:X24">
    <cfRule type="cellIs" dxfId="19" priority="1" operator="lessThan">
      <formula>0</formula>
    </cfRule>
    <cfRule type="cellIs" dxfId="18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333A-3F47-49A6-A990-ACB4007353F8}">
  <dimension ref="A1:Y24"/>
  <sheetViews>
    <sheetView showGridLines="0" topLeftCell="D1" workbookViewId="0">
      <selection activeCell="Y13" sqref="Y13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22" width="9.140625" style="11"/>
    <col min="23" max="23" width="1.7109375" style="11" customWidth="1"/>
    <col min="24" max="24" width="14.85546875" style="50" customWidth="1"/>
    <col min="25" max="16384" width="9.140625" style="11"/>
  </cols>
  <sheetData>
    <row r="1" spans="1:25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5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  <c r="X2" s="81" t="s">
        <v>20</v>
      </c>
    </row>
    <row r="3" spans="1:25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  <c r="X3" s="81"/>
    </row>
    <row r="4" spans="1:25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  <c r="X4" s="81"/>
    </row>
    <row r="5" spans="1:25" x14ac:dyDescent="0.25">
      <c r="A5" s="76" t="s">
        <v>12</v>
      </c>
      <c r="B5" s="79" t="s">
        <v>1</v>
      </c>
      <c r="C5" s="80" t="s">
        <v>4</v>
      </c>
      <c r="D5" s="19" t="s">
        <v>13</v>
      </c>
      <c r="E5" s="49">
        <v>-58</v>
      </c>
      <c r="F5" s="49">
        <v>6</v>
      </c>
      <c r="G5" s="49">
        <v>-1</v>
      </c>
      <c r="H5" s="49">
        <v>-24</v>
      </c>
      <c r="I5" s="49">
        <v>38</v>
      </c>
      <c r="J5" s="49">
        <v>2</v>
      </c>
      <c r="K5" s="49">
        <v>-2</v>
      </c>
      <c r="L5" s="49">
        <v>0</v>
      </c>
      <c r="M5" s="49">
        <v>-1</v>
      </c>
      <c r="N5" s="49">
        <v>0</v>
      </c>
      <c r="O5" s="49">
        <v>-1</v>
      </c>
      <c r="P5" s="49">
        <v>-1</v>
      </c>
      <c r="Q5" s="49">
        <v>0</v>
      </c>
      <c r="R5" s="49">
        <v>0</v>
      </c>
      <c r="S5" s="49">
        <v>-1</v>
      </c>
      <c r="T5" s="49">
        <v>3</v>
      </c>
      <c r="U5" s="49">
        <v>4</v>
      </c>
      <c r="V5" s="49">
        <v>-1</v>
      </c>
      <c r="X5" s="50">
        <f>SUM(E5:V5)</f>
        <v>-37</v>
      </c>
    </row>
    <row r="6" spans="1:25" x14ac:dyDescent="0.25">
      <c r="A6" s="77"/>
      <c r="B6" s="79"/>
      <c r="C6" s="80"/>
      <c r="D6" s="19" t="s">
        <v>14</v>
      </c>
      <c r="E6" s="50">
        <v>-14</v>
      </c>
      <c r="F6" s="50">
        <v>32</v>
      </c>
      <c r="G6" s="50">
        <v>-7</v>
      </c>
      <c r="H6" s="50">
        <v>-7</v>
      </c>
      <c r="I6" s="50">
        <v>224</v>
      </c>
      <c r="J6" s="50">
        <v>25</v>
      </c>
      <c r="K6" s="50">
        <v>-1</v>
      </c>
      <c r="L6" s="50">
        <v>-1</v>
      </c>
      <c r="M6" s="50">
        <v>0</v>
      </c>
      <c r="N6" s="50">
        <v>0</v>
      </c>
      <c r="O6" s="50">
        <v>0</v>
      </c>
      <c r="P6" s="50">
        <v>1</v>
      </c>
      <c r="Q6" s="50">
        <v>0</v>
      </c>
      <c r="R6" s="50">
        <v>2</v>
      </c>
      <c r="S6" s="50">
        <v>1</v>
      </c>
      <c r="T6" s="50">
        <v>0</v>
      </c>
      <c r="U6" s="50">
        <v>25</v>
      </c>
      <c r="V6" s="50">
        <v>3</v>
      </c>
      <c r="X6" s="50">
        <f t="shared" ref="X6:X24" si="0">SUM(E6:V6)</f>
        <v>283</v>
      </c>
    </row>
    <row r="7" spans="1:25" x14ac:dyDescent="0.25">
      <c r="A7" s="77"/>
      <c r="B7" s="79"/>
      <c r="C7" s="80"/>
      <c r="D7" s="19" t="s">
        <v>15</v>
      </c>
      <c r="E7" s="50">
        <v>-1</v>
      </c>
      <c r="F7" s="50">
        <v>4</v>
      </c>
      <c r="G7" s="50">
        <v>-38</v>
      </c>
      <c r="H7" s="50">
        <v>0</v>
      </c>
      <c r="I7" s="50">
        <v>21</v>
      </c>
      <c r="J7" s="50">
        <v>130</v>
      </c>
      <c r="K7" s="50">
        <v>-1</v>
      </c>
      <c r="L7" s="50">
        <v>-1</v>
      </c>
      <c r="M7" s="50">
        <v>0</v>
      </c>
      <c r="N7" s="50">
        <v>-1</v>
      </c>
      <c r="O7" s="50">
        <v>0</v>
      </c>
      <c r="P7" s="50">
        <v>1</v>
      </c>
      <c r="Q7" s="50">
        <v>0</v>
      </c>
      <c r="R7" s="50">
        <v>0</v>
      </c>
      <c r="S7" s="50">
        <v>4</v>
      </c>
      <c r="T7" s="50">
        <v>0</v>
      </c>
      <c r="U7" s="50">
        <v>7</v>
      </c>
      <c r="V7" s="50">
        <v>12</v>
      </c>
      <c r="X7" s="50">
        <f t="shared" si="0"/>
        <v>137</v>
      </c>
    </row>
    <row r="8" spans="1:25" x14ac:dyDescent="0.25">
      <c r="A8" s="77"/>
      <c r="B8" s="79"/>
      <c r="C8" s="80" t="s">
        <v>5</v>
      </c>
      <c r="D8" s="21" t="s">
        <v>11</v>
      </c>
      <c r="E8" s="50">
        <v>-15</v>
      </c>
      <c r="F8" s="50">
        <v>2</v>
      </c>
      <c r="G8" s="50">
        <v>0</v>
      </c>
      <c r="H8" s="50">
        <v>-54</v>
      </c>
      <c r="I8" s="50">
        <v>98</v>
      </c>
      <c r="J8" s="50">
        <v>1</v>
      </c>
      <c r="K8" s="50">
        <v>-1</v>
      </c>
      <c r="L8" s="50">
        <v>-1</v>
      </c>
      <c r="M8" s="50">
        <v>-1</v>
      </c>
      <c r="N8" s="50">
        <v>0</v>
      </c>
      <c r="O8" s="50">
        <v>0</v>
      </c>
      <c r="P8" s="50">
        <v>-1</v>
      </c>
      <c r="Q8" s="50">
        <v>0</v>
      </c>
      <c r="R8" s="50">
        <v>0</v>
      </c>
      <c r="S8" s="50">
        <v>0</v>
      </c>
      <c r="T8" s="50">
        <v>5</v>
      </c>
      <c r="U8" s="50">
        <v>12</v>
      </c>
      <c r="V8" s="50">
        <v>-1</v>
      </c>
      <c r="X8" s="50">
        <f t="shared" si="0"/>
        <v>44</v>
      </c>
    </row>
    <row r="9" spans="1:25" x14ac:dyDescent="0.25">
      <c r="A9" s="77"/>
      <c r="B9" s="79"/>
      <c r="C9" s="80"/>
      <c r="D9" s="21" t="s">
        <v>6</v>
      </c>
      <c r="E9" s="50">
        <v>-8</v>
      </c>
      <c r="F9" s="50">
        <v>20</v>
      </c>
      <c r="G9" s="50">
        <v>-3</v>
      </c>
      <c r="H9" s="50">
        <v>-13</v>
      </c>
      <c r="I9" s="50">
        <v>858</v>
      </c>
      <c r="J9" s="50">
        <v>61</v>
      </c>
      <c r="K9" s="50">
        <v>-1</v>
      </c>
      <c r="L9" s="50">
        <v>-1</v>
      </c>
      <c r="M9" s="50">
        <v>-1</v>
      </c>
      <c r="N9" s="50">
        <v>0</v>
      </c>
      <c r="O9" s="50">
        <v>0</v>
      </c>
      <c r="P9" s="50">
        <v>0</v>
      </c>
      <c r="Q9" s="50">
        <v>0</v>
      </c>
      <c r="R9" s="50">
        <v>1</v>
      </c>
      <c r="S9" s="50">
        <v>1</v>
      </c>
      <c r="T9" s="50">
        <v>2</v>
      </c>
      <c r="U9" s="50">
        <v>121</v>
      </c>
      <c r="V9" s="50">
        <v>11</v>
      </c>
      <c r="X9" s="50">
        <f t="shared" si="0"/>
        <v>1048</v>
      </c>
    </row>
    <row r="10" spans="1:25" x14ac:dyDescent="0.25">
      <c r="A10" s="77"/>
      <c r="B10" s="79"/>
      <c r="C10" s="80"/>
      <c r="D10" s="21" t="s">
        <v>7</v>
      </c>
      <c r="E10" s="50">
        <v>-1</v>
      </c>
      <c r="F10" s="50">
        <v>2</v>
      </c>
      <c r="G10" s="50">
        <v>-21</v>
      </c>
      <c r="H10" s="50">
        <v>-1</v>
      </c>
      <c r="I10" s="50">
        <v>43</v>
      </c>
      <c r="J10" s="50">
        <v>232</v>
      </c>
      <c r="K10" s="50">
        <v>-1</v>
      </c>
      <c r="L10" s="50">
        <v>0</v>
      </c>
      <c r="M10" s="50">
        <v>-1</v>
      </c>
      <c r="N10" s="50">
        <v>-1</v>
      </c>
      <c r="O10" s="50">
        <v>0</v>
      </c>
      <c r="P10" s="50">
        <v>4</v>
      </c>
      <c r="Q10" s="50">
        <v>0</v>
      </c>
      <c r="R10" s="50">
        <v>1</v>
      </c>
      <c r="S10" s="50">
        <v>4</v>
      </c>
      <c r="T10" s="50">
        <v>-1</v>
      </c>
      <c r="U10" s="50">
        <v>9</v>
      </c>
      <c r="V10" s="50">
        <v>31</v>
      </c>
      <c r="X10" s="50">
        <f t="shared" si="0"/>
        <v>299</v>
      </c>
    </row>
    <row r="11" spans="1:25" x14ac:dyDescent="0.25">
      <c r="A11" s="77"/>
      <c r="B11" s="79" t="s">
        <v>2</v>
      </c>
      <c r="C11" s="80" t="s">
        <v>4</v>
      </c>
      <c r="D11" s="21" t="s">
        <v>11</v>
      </c>
      <c r="E11" s="50">
        <v>-1</v>
      </c>
      <c r="F11" s="50">
        <v>0</v>
      </c>
      <c r="G11" s="50">
        <v>-1</v>
      </c>
      <c r="H11" s="50">
        <v>0</v>
      </c>
      <c r="I11" s="50">
        <v>1</v>
      </c>
      <c r="J11" s="50">
        <v>0</v>
      </c>
      <c r="K11" s="50">
        <v>-6</v>
      </c>
      <c r="L11" s="50">
        <v>-1</v>
      </c>
      <c r="M11" s="50">
        <v>0</v>
      </c>
      <c r="N11" s="50">
        <v>-1</v>
      </c>
      <c r="O11" s="50">
        <v>0</v>
      </c>
      <c r="P11" s="50">
        <v>1</v>
      </c>
      <c r="Q11" s="50">
        <v>0</v>
      </c>
      <c r="R11" s="50">
        <v>0</v>
      </c>
      <c r="S11" s="50">
        <v>-1</v>
      </c>
      <c r="T11" s="50">
        <v>0</v>
      </c>
      <c r="U11" s="50">
        <v>1</v>
      </c>
      <c r="V11" s="50">
        <v>-1</v>
      </c>
      <c r="X11" s="50">
        <f t="shared" si="0"/>
        <v>-9</v>
      </c>
    </row>
    <row r="12" spans="1:25" x14ac:dyDescent="0.25">
      <c r="A12" s="77"/>
      <c r="B12" s="79"/>
      <c r="C12" s="80"/>
      <c r="D12" s="21" t="s">
        <v>6</v>
      </c>
      <c r="E12" s="50">
        <v>0</v>
      </c>
      <c r="F12" s="50">
        <v>1</v>
      </c>
      <c r="G12" s="50">
        <v>0</v>
      </c>
      <c r="H12" s="50">
        <v>0</v>
      </c>
      <c r="I12" s="50">
        <v>4</v>
      </c>
      <c r="J12" s="50">
        <v>1</v>
      </c>
      <c r="K12" s="50">
        <v>-2</v>
      </c>
      <c r="L12" s="50">
        <v>-9</v>
      </c>
      <c r="M12" s="50">
        <v>-2</v>
      </c>
      <c r="N12" s="50">
        <v>0</v>
      </c>
      <c r="O12" s="50">
        <v>0</v>
      </c>
      <c r="P12" s="50">
        <v>3</v>
      </c>
      <c r="Q12" s="50">
        <v>0</v>
      </c>
      <c r="R12" s="50">
        <v>0</v>
      </c>
      <c r="S12" s="50">
        <v>0</v>
      </c>
      <c r="T12" s="50">
        <v>-1</v>
      </c>
      <c r="U12" s="50">
        <v>3</v>
      </c>
      <c r="V12" s="50">
        <v>0</v>
      </c>
      <c r="X12" s="50">
        <f t="shared" si="0"/>
        <v>-2</v>
      </c>
    </row>
    <row r="13" spans="1:25" x14ac:dyDescent="0.25">
      <c r="A13" s="77"/>
      <c r="B13" s="79"/>
      <c r="C13" s="80"/>
      <c r="D13" s="21" t="s">
        <v>7</v>
      </c>
      <c r="E13" s="50">
        <v>-1</v>
      </c>
      <c r="F13" s="50">
        <v>0</v>
      </c>
      <c r="G13" s="50">
        <v>-1</v>
      </c>
      <c r="H13" s="50">
        <v>-1</v>
      </c>
      <c r="I13" s="50">
        <v>1</v>
      </c>
      <c r="J13" s="50">
        <v>3</v>
      </c>
      <c r="K13" s="50">
        <v>-1</v>
      </c>
      <c r="L13" s="50">
        <v>-1</v>
      </c>
      <c r="M13" s="50">
        <v>-10</v>
      </c>
      <c r="N13" s="50">
        <v>0</v>
      </c>
      <c r="O13" s="50">
        <v>0</v>
      </c>
      <c r="P13" s="50">
        <v>11</v>
      </c>
      <c r="Q13" s="50">
        <v>-1</v>
      </c>
      <c r="R13" s="50">
        <v>0</v>
      </c>
      <c r="S13" s="50">
        <v>1</v>
      </c>
      <c r="T13" s="50">
        <v>-1</v>
      </c>
      <c r="U13" s="50">
        <v>-1</v>
      </c>
      <c r="V13" s="50">
        <v>1</v>
      </c>
      <c r="X13" s="50">
        <f t="shared" si="0"/>
        <v>-1</v>
      </c>
      <c r="Y13" s="11" t="s">
        <v>22</v>
      </c>
    </row>
    <row r="14" spans="1:25" x14ac:dyDescent="0.25">
      <c r="A14" s="77"/>
      <c r="B14" s="79"/>
      <c r="C14" s="80" t="s">
        <v>5</v>
      </c>
      <c r="D14" s="21" t="s">
        <v>11</v>
      </c>
      <c r="E14" s="50">
        <v>0</v>
      </c>
      <c r="F14" s="50">
        <v>-1</v>
      </c>
      <c r="G14" s="50">
        <v>-1</v>
      </c>
      <c r="H14" s="50">
        <v>-1</v>
      </c>
      <c r="I14" s="50">
        <v>2</v>
      </c>
      <c r="J14" s="50">
        <v>-1</v>
      </c>
      <c r="K14" s="50">
        <v>-2</v>
      </c>
      <c r="L14" s="50">
        <v>-1</v>
      </c>
      <c r="M14" s="50">
        <v>-1</v>
      </c>
      <c r="N14" s="50">
        <v>0</v>
      </c>
      <c r="O14" s="50">
        <v>0</v>
      </c>
      <c r="P14" s="50">
        <v>-1</v>
      </c>
      <c r="Q14" s="50">
        <v>0</v>
      </c>
      <c r="R14" s="50">
        <v>-1</v>
      </c>
      <c r="S14" s="50">
        <v>-1</v>
      </c>
      <c r="T14" s="50">
        <v>0</v>
      </c>
      <c r="U14" s="50">
        <v>0</v>
      </c>
      <c r="V14" s="50">
        <v>-1</v>
      </c>
      <c r="X14" s="50">
        <f t="shared" si="0"/>
        <v>-10</v>
      </c>
    </row>
    <row r="15" spans="1:25" x14ac:dyDescent="0.25">
      <c r="A15" s="77"/>
      <c r="B15" s="79"/>
      <c r="C15" s="80"/>
      <c r="D15" s="21" t="s">
        <v>6</v>
      </c>
      <c r="E15" s="50">
        <v>0</v>
      </c>
      <c r="F15" s="50">
        <v>1</v>
      </c>
      <c r="G15" s="50">
        <v>0</v>
      </c>
      <c r="H15" s="50">
        <v>0</v>
      </c>
      <c r="I15" s="50">
        <v>13</v>
      </c>
      <c r="J15" s="50">
        <v>1</v>
      </c>
      <c r="K15" s="50">
        <v>-2</v>
      </c>
      <c r="L15" s="50">
        <v>-6</v>
      </c>
      <c r="M15" s="50">
        <v>-1</v>
      </c>
      <c r="N15" s="50">
        <v>0</v>
      </c>
      <c r="O15" s="50">
        <v>1</v>
      </c>
      <c r="P15" s="50">
        <v>3</v>
      </c>
      <c r="Q15" s="50">
        <v>-1</v>
      </c>
      <c r="R15" s="50">
        <v>0</v>
      </c>
      <c r="S15" s="50">
        <v>-1</v>
      </c>
      <c r="T15" s="50">
        <v>0</v>
      </c>
      <c r="U15" s="50">
        <v>10</v>
      </c>
      <c r="V15" s="50">
        <v>1</v>
      </c>
      <c r="X15" s="50">
        <f t="shared" si="0"/>
        <v>19</v>
      </c>
    </row>
    <row r="16" spans="1:25" x14ac:dyDescent="0.25">
      <c r="A16" s="77"/>
      <c r="B16" s="79"/>
      <c r="C16" s="80"/>
      <c r="D16" s="21" t="s">
        <v>7</v>
      </c>
      <c r="E16" s="50">
        <v>-1</v>
      </c>
      <c r="F16" s="50">
        <v>0</v>
      </c>
      <c r="G16" s="50">
        <v>0</v>
      </c>
      <c r="H16" s="50">
        <v>-1</v>
      </c>
      <c r="I16" s="50">
        <v>1</v>
      </c>
      <c r="J16" s="50">
        <v>4</v>
      </c>
      <c r="K16" s="50">
        <v>0</v>
      </c>
      <c r="L16" s="50">
        <v>-1</v>
      </c>
      <c r="M16" s="50">
        <v>-4</v>
      </c>
      <c r="N16" s="50">
        <v>0</v>
      </c>
      <c r="O16" s="50">
        <v>0</v>
      </c>
      <c r="P16" s="50">
        <v>16</v>
      </c>
      <c r="Q16" s="50">
        <v>-1</v>
      </c>
      <c r="R16" s="50">
        <v>-1</v>
      </c>
      <c r="S16" s="50">
        <v>0</v>
      </c>
      <c r="T16" s="50">
        <v>-1</v>
      </c>
      <c r="U16" s="50">
        <v>1</v>
      </c>
      <c r="V16" s="50">
        <v>2</v>
      </c>
      <c r="X16" s="50">
        <f t="shared" si="0"/>
        <v>14</v>
      </c>
    </row>
    <row r="17" spans="1:24" x14ac:dyDescent="0.25">
      <c r="A17" s="77"/>
      <c r="B17" s="79" t="s">
        <v>3</v>
      </c>
      <c r="C17" s="80" t="s">
        <v>4</v>
      </c>
      <c r="D17" s="21" t="s">
        <v>11</v>
      </c>
      <c r="E17" s="50">
        <v>-4</v>
      </c>
      <c r="F17" s="50">
        <v>1</v>
      </c>
      <c r="G17" s="50">
        <v>-1</v>
      </c>
      <c r="H17" s="50">
        <v>-2</v>
      </c>
      <c r="I17" s="50">
        <v>3</v>
      </c>
      <c r="J17" s="50">
        <v>-1</v>
      </c>
      <c r="K17" s="50">
        <v>-1</v>
      </c>
      <c r="L17" s="50">
        <v>0</v>
      </c>
      <c r="M17" s="50">
        <v>-1</v>
      </c>
      <c r="N17" s="50">
        <v>0</v>
      </c>
      <c r="O17" s="50">
        <v>-1</v>
      </c>
      <c r="P17" s="50">
        <v>-1</v>
      </c>
      <c r="Q17" s="50">
        <v>0</v>
      </c>
      <c r="R17" s="50">
        <v>1</v>
      </c>
      <c r="S17" s="50">
        <v>1</v>
      </c>
      <c r="T17" s="50">
        <v>5</v>
      </c>
      <c r="U17" s="50">
        <v>6</v>
      </c>
      <c r="V17" s="50">
        <v>1</v>
      </c>
      <c r="X17" s="50">
        <f t="shared" si="0"/>
        <v>6</v>
      </c>
    </row>
    <row r="18" spans="1:24" x14ac:dyDescent="0.25">
      <c r="A18" s="77"/>
      <c r="B18" s="79"/>
      <c r="C18" s="80"/>
      <c r="D18" s="21" t="s">
        <v>6</v>
      </c>
      <c r="E18" s="50">
        <v>0</v>
      </c>
      <c r="F18" s="50">
        <v>2</v>
      </c>
      <c r="G18" s="50">
        <v>0</v>
      </c>
      <c r="H18" s="50">
        <v>0</v>
      </c>
      <c r="I18" s="50">
        <v>14</v>
      </c>
      <c r="J18" s="50">
        <v>1</v>
      </c>
      <c r="K18" s="50">
        <v>-1</v>
      </c>
      <c r="L18" s="50">
        <v>0</v>
      </c>
      <c r="M18" s="50">
        <v>0</v>
      </c>
      <c r="N18" s="50">
        <v>0</v>
      </c>
      <c r="O18" s="50">
        <v>0</v>
      </c>
      <c r="P18" s="50">
        <v>-1</v>
      </c>
      <c r="Q18" s="50">
        <v>0</v>
      </c>
      <c r="R18" s="50">
        <v>6</v>
      </c>
      <c r="S18" s="50">
        <v>6</v>
      </c>
      <c r="T18" s="50">
        <v>2</v>
      </c>
      <c r="U18" s="50">
        <v>35</v>
      </c>
      <c r="V18" s="50">
        <v>6</v>
      </c>
      <c r="X18" s="50">
        <f t="shared" si="0"/>
        <v>70</v>
      </c>
    </row>
    <row r="19" spans="1:24" x14ac:dyDescent="0.25">
      <c r="A19" s="77"/>
      <c r="B19" s="79"/>
      <c r="C19" s="80"/>
      <c r="D19" s="21" t="s">
        <v>7</v>
      </c>
      <c r="E19" s="50">
        <v>-1</v>
      </c>
      <c r="F19" s="50">
        <v>0</v>
      </c>
      <c r="G19" s="50">
        <v>-1</v>
      </c>
      <c r="H19" s="50">
        <v>-1</v>
      </c>
      <c r="I19" s="50">
        <v>1</v>
      </c>
      <c r="J19" s="50">
        <v>4</v>
      </c>
      <c r="K19" s="50">
        <v>0</v>
      </c>
      <c r="L19" s="50">
        <v>-1</v>
      </c>
      <c r="M19" s="50">
        <v>0</v>
      </c>
      <c r="N19" s="50">
        <v>-1</v>
      </c>
      <c r="O19" s="50">
        <v>0</v>
      </c>
      <c r="P19" s="50">
        <v>0</v>
      </c>
      <c r="Q19" s="50">
        <v>0</v>
      </c>
      <c r="R19" s="50">
        <v>1</v>
      </c>
      <c r="S19" s="50">
        <v>13</v>
      </c>
      <c r="T19" s="50">
        <v>0</v>
      </c>
      <c r="U19" s="50">
        <v>3</v>
      </c>
      <c r="V19" s="50">
        <v>11</v>
      </c>
      <c r="X19" s="50">
        <f t="shared" si="0"/>
        <v>28</v>
      </c>
    </row>
    <row r="20" spans="1:24" x14ac:dyDescent="0.25">
      <c r="A20" s="77"/>
      <c r="B20" s="79"/>
      <c r="C20" s="80" t="s">
        <v>5</v>
      </c>
      <c r="D20" s="21" t="s">
        <v>11</v>
      </c>
      <c r="E20" s="50">
        <v>-1</v>
      </c>
      <c r="F20" s="50">
        <v>-1</v>
      </c>
      <c r="G20" s="50">
        <v>-1</v>
      </c>
      <c r="H20" s="50">
        <v>-2</v>
      </c>
      <c r="I20" s="50">
        <v>5</v>
      </c>
      <c r="J20" s="50">
        <v>0</v>
      </c>
      <c r="K20" s="50">
        <v>-1</v>
      </c>
      <c r="L20" s="50">
        <v>-1</v>
      </c>
      <c r="M20" s="50">
        <v>-1</v>
      </c>
      <c r="N20" s="50">
        <v>-1</v>
      </c>
      <c r="O20" s="50">
        <v>0</v>
      </c>
      <c r="P20" s="50">
        <v>-1</v>
      </c>
      <c r="Q20" s="50">
        <v>0</v>
      </c>
      <c r="R20" s="50">
        <v>0</v>
      </c>
      <c r="S20" s="50">
        <v>0</v>
      </c>
      <c r="T20" s="50">
        <v>5</v>
      </c>
      <c r="U20" s="50">
        <v>10</v>
      </c>
      <c r="V20" s="50">
        <v>1</v>
      </c>
      <c r="X20" s="50">
        <f t="shared" si="0"/>
        <v>11</v>
      </c>
    </row>
    <row r="21" spans="1:24" x14ac:dyDescent="0.25">
      <c r="A21" s="77"/>
      <c r="B21" s="79"/>
      <c r="C21" s="80"/>
      <c r="D21" s="21" t="s">
        <v>6</v>
      </c>
      <c r="E21" s="50">
        <v>-1</v>
      </c>
      <c r="F21" s="50">
        <v>1</v>
      </c>
      <c r="G21" s="50">
        <v>0</v>
      </c>
      <c r="H21" s="50">
        <v>-1</v>
      </c>
      <c r="I21" s="50">
        <v>50</v>
      </c>
      <c r="J21" s="50">
        <v>5</v>
      </c>
      <c r="K21" s="50">
        <v>-1</v>
      </c>
      <c r="L21" s="50">
        <v>-1</v>
      </c>
      <c r="M21" s="50">
        <v>-1</v>
      </c>
      <c r="N21" s="50">
        <v>-1</v>
      </c>
      <c r="O21" s="50">
        <v>0</v>
      </c>
      <c r="P21" s="50">
        <v>0</v>
      </c>
      <c r="Q21" s="50">
        <v>0</v>
      </c>
      <c r="R21" s="50">
        <v>3</v>
      </c>
      <c r="S21" s="50">
        <v>2</v>
      </c>
      <c r="T21" s="50">
        <v>4</v>
      </c>
      <c r="U21" s="50">
        <v>208</v>
      </c>
      <c r="V21" s="50">
        <v>10</v>
      </c>
      <c r="X21" s="50">
        <f t="shared" si="0"/>
        <v>277</v>
      </c>
    </row>
    <row r="22" spans="1:24" x14ac:dyDescent="0.25">
      <c r="A22" s="78"/>
      <c r="B22" s="79"/>
      <c r="C22" s="80"/>
      <c r="D22" s="21" t="s">
        <v>7</v>
      </c>
      <c r="E22" s="51">
        <v>-1</v>
      </c>
      <c r="F22" s="51">
        <v>0</v>
      </c>
      <c r="G22" s="51">
        <v>-1</v>
      </c>
      <c r="H22" s="51">
        <v>-1</v>
      </c>
      <c r="I22" s="51">
        <v>3</v>
      </c>
      <c r="J22" s="51">
        <v>8</v>
      </c>
      <c r="K22" s="51">
        <v>-1</v>
      </c>
      <c r="L22" s="51">
        <v>-1</v>
      </c>
      <c r="M22" s="51">
        <v>0</v>
      </c>
      <c r="N22" s="51">
        <v>-1</v>
      </c>
      <c r="O22" s="51">
        <v>0</v>
      </c>
      <c r="P22" s="51">
        <v>1</v>
      </c>
      <c r="Q22" s="51">
        <v>-1</v>
      </c>
      <c r="R22" s="51">
        <v>0</v>
      </c>
      <c r="S22" s="51">
        <v>4</v>
      </c>
      <c r="T22" s="51">
        <v>0</v>
      </c>
      <c r="U22" s="51">
        <v>6</v>
      </c>
      <c r="V22" s="51">
        <v>23</v>
      </c>
      <c r="X22" s="50">
        <f t="shared" si="0"/>
        <v>38</v>
      </c>
    </row>
    <row r="23" spans="1:24" ht="9.75" customHeight="1" x14ac:dyDescent="0.25"/>
    <row r="24" spans="1:24" ht="27.75" customHeight="1" x14ac:dyDescent="0.25">
      <c r="B24" s="81" t="s">
        <v>21</v>
      </c>
      <c r="C24" s="81"/>
      <c r="D24" s="81"/>
      <c r="E24" s="50">
        <f>SUM(E5:E23)</f>
        <v>-108</v>
      </c>
      <c r="F24" s="50">
        <f t="shared" ref="F24:V24" si="1">SUM(F5:F22)</f>
        <v>70</v>
      </c>
      <c r="G24" s="50">
        <f t="shared" si="1"/>
        <v>-77</v>
      </c>
      <c r="H24" s="50">
        <f t="shared" si="1"/>
        <v>-109</v>
      </c>
      <c r="I24" s="50">
        <f t="shared" si="1"/>
        <v>1380</v>
      </c>
      <c r="J24" s="50">
        <f t="shared" si="1"/>
        <v>476</v>
      </c>
      <c r="K24" s="50">
        <f t="shared" si="1"/>
        <v>-25</v>
      </c>
      <c r="L24" s="50">
        <f t="shared" si="1"/>
        <v>-27</v>
      </c>
      <c r="M24" s="50">
        <f t="shared" si="1"/>
        <v>-25</v>
      </c>
      <c r="N24" s="50">
        <f t="shared" si="1"/>
        <v>-7</v>
      </c>
      <c r="O24" s="50">
        <f t="shared" si="1"/>
        <v>-1</v>
      </c>
      <c r="P24" s="50">
        <f t="shared" si="1"/>
        <v>35</v>
      </c>
      <c r="Q24" s="50">
        <f t="shared" si="1"/>
        <v>-4</v>
      </c>
      <c r="R24" s="50">
        <f t="shared" si="1"/>
        <v>13</v>
      </c>
      <c r="S24" s="50">
        <f t="shared" si="1"/>
        <v>33</v>
      </c>
      <c r="T24" s="50">
        <f t="shared" si="1"/>
        <v>22</v>
      </c>
      <c r="U24" s="50">
        <f t="shared" si="1"/>
        <v>460</v>
      </c>
      <c r="V24" s="50">
        <f t="shared" si="1"/>
        <v>109</v>
      </c>
      <c r="X24" s="50">
        <f t="shared" si="0"/>
        <v>2215</v>
      </c>
    </row>
  </sheetData>
  <mergeCells count="22">
    <mergeCell ref="C20:C22"/>
    <mergeCell ref="B24:D24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E1:V1"/>
    <mergeCell ref="E2:J2"/>
    <mergeCell ref="K2:P2"/>
    <mergeCell ref="Q2:V2"/>
    <mergeCell ref="X2:X4"/>
    <mergeCell ref="E3:G3"/>
    <mergeCell ref="H3:J3"/>
    <mergeCell ref="K3:M3"/>
    <mergeCell ref="N3:P3"/>
    <mergeCell ref="Q3:S3"/>
  </mergeCells>
  <conditionalFormatting sqref="E5:V22">
    <cfRule type="cellIs" dxfId="17" priority="5" operator="lessThan">
      <formula>0</formula>
    </cfRule>
    <cfRule type="cellIs" dxfId="16" priority="6" operator="greaterThan">
      <formula>0</formula>
    </cfRule>
  </conditionalFormatting>
  <conditionalFormatting sqref="E24:V24">
    <cfRule type="cellIs" dxfId="15" priority="2" operator="lessThan">
      <formula>0</formula>
    </cfRule>
    <cfRule type="cellIs" dxfId="14" priority="3" operator="greaterThan">
      <formula>0</formula>
    </cfRule>
  </conditionalFormatting>
  <conditionalFormatting sqref="X5:X24">
    <cfRule type="cellIs" dxfId="13" priority="1" operator="lessThan">
      <formula>0</formula>
    </cfRule>
    <cfRule type="cellIs" dxfId="12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5564-5648-4B35-B013-651BA6147DC5}">
  <dimension ref="A1:X24"/>
  <sheetViews>
    <sheetView showGridLines="0" workbookViewId="0">
      <selection activeCell="K9" sqref="K9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22" width="9.140625" style="11"/>
    <col min="23" max="23" width="1.7109375" style="11" customWidth="1"/>
    <col min="24" max="24" width="14.85546875" style="50" customWidth="1"/>
    <col min="25" max="16384" width="9.140625" style="11"/>
  </cols>
  <sheetData>
    <row r="1" spans="1:24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4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  <c r="X2" s="81" t="s">
        <v>20</v>
      </c>
    </row>
    <row r="3" spans="1:24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  <c r="X3" s="81"/>
    </row>
    <row r="4" spans="1:24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  <c r="X4" s="81"/>
    </row>
    <row r="5" spans="1:24" x14ac:dyDescent="0.25">
      <c r="A5" s="76" t="s">
        <v>12</v>
      </c>
      <c r="B5" s="79" t="s">
        <v>1</v>
      </c>
      <c r="C5" s="80" t="s">
        <v>4</v>
      </c>
      <c r="D5" s="19" t="s">
        <v>13</v>
      </c>
      <c r="E5" s="49">
        <v>-148</v>
      </c>
      <c r="F5" s="49">
        <v>-71</v>
      </c>
      <c r="G5" s="49">
        <v>-279</v>
      </c>
      <c r="H5" s="49">
        <v>81</v>
      </c>
      <c r="I5" s="49">
        <v>174</v>
      </c>
      <c r="J5" s="49">
        <v>9</v>
      </c>
      <c r="K5" s="49">
        <v>5</v>
      </c>
      <c r="L5" s="49">
        <v>1</v>
      </c>
      <c r="M5" s="49">
        <v>-1</v>
      </c>
      <c r="N5" s="49">
        <v>1</v>
      </c>
      <c r="O5" s="49">
        <v>-1</v>
      </c>
      <c r="P5" s="49">
        <v>-1</v>
      </c>
      <c r="Q5" s="49">
        <v>4</v>
      </c>
      <c r="R5" s="49">
        <v>2</v>
      </c>
      <c r="S5" s="49">
        <v>-15</v>
      </c>
      <c r="T5" s="49">
        <v>5</v>
      </c>
      <c r="U5" s="49">
        <v>10</v>
      </c>
      <c r="V5" s="49">
        <v>-1</v>
      </c>
      <c r="X5" s="50">
        <f>SUM(E5:V5)</f>
        <v>-225</v>
      </c>
    </row>
    <row r="6" spans="1:24" x14ac:dyDescent="0.25">
      <c r="A6" s="77"/>
      <c r="B6" s="79"/>
      <c r="C6" s="80"/>
      <c r="D6" s="19" t="s">
        <v>14</v>
      </c>
      <c r="E6" s="50">
        <v>-112</v>
      </c>
      <c r="F6" s="50">
        <v>-339</v>
      </c>
      <c r="G6" s="50">
        <v>-225</v>
      </c>
      <c r="H6" s="50">
        <v>-1026</v>
      </c>
      <c r="I6" s="50">
        <v>815</v>
      </c>
      <c r="J6" s="50">
        <v>135</v>
      </c>
      <c r="K6" s="50">
        <v>0</v>
      </c>
      <c r="L6" s="50">
        <v>4</v>
      </c>
      <c r="M6" s="50">
        <v>1</v>
      </c>
      <c r="N6" s="50">
        <v>-6</v>
      </c>
      <c r="O6" s="50">
        <v>4</v>
      </c>
      <c r="P6" s="50">
        <v>3</v>
      </c>
      <c r="Q6" s="50">
        <v>-2</v>
      </c>
      <c r="R6" s="50">
        <v>4</v>
      </c>
      <c r="S6" s="50">
        <v>-11</v>
      </c>
      <c r="T6" s="50">
        <v>-72</v>
      </c>
      <c r="U6" s="50">
        <v>64</v>
      </c>
      <c r="V6" s="50">
        <v>8</v>
      </c>
      <c r="X6" s="50">
        <f t="shared" ref="X6:X24" si="0">SUM(E6:V6)</f>
        <v>-755</v>
      </c>
    </row>
    <row r="7" spans="1:24" x14ac:dyDescent="0.25">
      <c r="A7" s="77"/>
      <c r="B7" s="79"/>
      <c r="C7" s="80"/>
      <c r="D7" s="19" t="s">
        <v>15</v>
      </c>
      <c r="E7" s="50">
        <v>-196</v>
      </c>
      <c r="F7" s="50">
        <v>-144</v>
      </c>
      <c r="G7" s="50">
        <v>-860</v>
      </c>
      <c r="H7" s="50">
        <v>-724</v>
      </c>
      <c r="I7" s="50">
        <v>-720</v>
      </c>
      <c r="J7" s="50">
        <v>696</v>
      </c>
      <c r="K7" s="50">
        <v>-2</v>
      </c>
      <c r="L7" s="50">
        <v>3</v>
      </c>
      <c r="M7" s="50">
        <v>-6</v>
      </c>
      <c r="N7" s="50">
        <v>-5</v>
      </c>
      <c r="O7" s="50">
        <v>-2</v>
      </c>
      <c r="P7" s="50">
        <v>5</v>
      </c>
      <c r="Q7" s="50">
        <v>-9</v>
      </c>
      <c r="R7" s="50">
        <v>-16</v>
      </c>
      <c r="S7" s="50">
        <v>-38</v>
      </c>
      <c r="T7" s="50">
        <v>-66</v>
      </c>
      <c r="U7" s="50">
        <v>-33</v>
      </c>
      <c r="V7" s="50">
        <v>37</v>
      </c>
      <c r="X7" s="50">
        <f t="shared" si="0"/>
        <v>-2080</v>
      </c>
    </row>
    <row r="8" spans="1:24" x14ac:dyDescent="0.25">
      <c r="A8" s="77"/>
      <c r="B8" s="79"/>
      <c r="C8" s="80" t="s">
        <v>5</v>
      </c>
      <c r="D8" s="21" t="s">
        <v>11</v>
      </c>
      <c r="E8" s="50">
        <v>59</v>
      </c>
      <c r="F8" s="50">
        <v>-435</v>
      </c>
      <c r="G8" s="50">
        <v>-322</v>
      </c>
      <c r="H8" s="50">
        <v>-2767</v>
      </c>
      <c r="I8" s="50">
        <v>89</v>
      </c>
      <c r="J8" s="50">
        <v>2</v>
      </c>
      <c r="K8" s="50">
        <v>-1</v>
      </c>
      <c r="L8" s="50">
        <v>1</v>
      </c>
      <c r="M8" s="50">
        <v>-2</v>
      </c>
      <c r="N8" s="50">
        <v>-17</v>
      </c>
      <c r="O8" s="50">
        <v>3</v>
      </c>
      <c r="P8" s="50">
        <v>-1</v>
      </c>
      <c r="Q8" s="50">
        <v>3</v>
      </c>
      <c r="R8" s="50">
        <v>-26</v>
      </c>
      <c r="S8" s="50">
        <v>-13</v>
      </c>
      <c r="T8" s="50">
        <v>-249</v>
      </c>
      <c r="U8" s="50">
        <v>10</v>
      </c>
      <c r="V8" s="50">
        <v>-2</v>
      </c>
      <c r="X8" s="50">
        <f t="shared" si="0"/>
        <v>-3668</v>
      </c>
    </row>
    <row r="9" spans="1:24" x14ac:dyDescent="0.25">
      <c r="A9" s="77"/>
      <c r="B9" s="79"/>
      <c r="C9" s="80"/>
      <c r="D9" s="21" t="s">
        <v>6</v>
      </c>
      <c r="E9" s="50">
        <v>58</v>
      </c>
      <c r="F9" s="50">
        <v>386</v>
      </c>
      <c r="G9" s="50">
        <v>-574</v>
      </c>
      <c r="H9" s="50">
        <v>-157</v>
      </c>
      <c r="I9" s="50">
        <v>2179</v>
      </c>
      <c r="J9" s="50">
        <v>328</v>
      </c>
      <c r="K9" s="50">
        <v>1</v>
      </c>
      <c r="L9" s="50">
        <v>1</v>
      </c>
      <c r="M9" s="50">
        <v>-5</v>
      </c>
      <c r="N9" s="50">
        <v>-5</v>
      </c>
      <c r="O9" s="50">
        <v>36</v>
      </c>
      <c r="P9" s="50">
        <v>0</v>
      </c>
      <c r="Q9" s="50">
        <v>0</v>
      </c>
      <c r="R9" s="50">
        <v>18</v>
      </c>
      <c r="S9" s="50">
        <v>-32</v>
      </c>
      <c r="T9" s="50">
        <v>-45</v>
      </c>
      <c r="U9" s="50">
        <v>212</v>
      </c>
      <c r="V9" s="50">
        <v>32</v>
      </c>
      <c r="X9" s="50">
        <f t="shared" si="0"/>
        <v>2433</v>
      </c>
    </row>
    <row r="10" spans="1:24" x14ac:dyDescent="0.25">
      <c r="A10" s="77"/>
      <c r="B10" s="79"/>
      <c r="C10" s="80"/>
      <c r="D10" s="21" t="s">
        <v>7</v>
      </c>
      <c r="E10" s="50">
        <v>-1</v>
      </c>
      <c r="F10" s="50">
        <v>49</v>
      </c>
      <c r="G10" s="50">
        <v>455</v>
      </c>
      <c r="H10" s="50">
        <v>5</v>
      </c>
      <c r="I10" s="50">
        <v>201</v>
      </c>
      <c r="J10" s="50">
        <v>1241</v>
      </c>
      <c r="K10" s="50">
        <v>-1</v>
      </c>
      <c r="L10" s="50">
        <v>0</v>
      </c>
      <c r="M10" s="50">
        <v>5</v>
      </c>
      <c r="N10" s="50">
        <v>-1</v>
      </c>
      <c r="O10" s="50">
        <v>3</v>
      </c>
      <c r="P10" s="50">
        <v>23</v>
      </c>
      <c r="Q10" s="50">
        <v>0</v>
      </c>
      <c r="R10" s="50">
        <v>15</v>
      </c>
      <c r="S10" s="50">
        <v>26</v>
      </c>
      <c r="T10" s="50">
        <v>-2</v>
      </c>
      <c r="U10" s="50">
        <v>24</v>
      </c>
      <c r="V10" s="50">
        <v>95</v>
      </c>
      <c r="X10" s="50">
        <f t="shared" si="0"/>
        <v>2137</v>
      </c>
    </row>
    <row r="11" spans="1:24" x14ac:dyDescent="0.25">
      <c r="A11" s="77"/>
      <c r="B11" s="79" t="s">
        <v>2</v>
      </c>
      <c r="C11" s="80" t="s">
        <v>4</v>
      </c>
      <c r="D11" s="21" t="s">
        <v>11</v>
      </c>
      <c r="E11" s="50">
        <v>2</v>
      </c>
      <c r="F11" s="50">
        <v>5</v>
      </c>
      <c r="G11" s="50">
        <v>-2</v>
      </c>
      <c r="H11" s="50">
        <v>1</v>
      </c>
      <c r="I11" s="50">
        <v>5</v>
      </c>
      <c r="J11" s="50">
        <v>1</v>
      </c>
      <c r="K11" s="50">
        <v>-8</v>
      </c>
      <c r="L11" s="50">
        <v>-3</v>
      </c>
      <c r="M11" s="50">
        <v>-13</v>
      </c>
      <c r="N11" s="50">
        <v>-3</v>
      </c>
      <c r="O11" s="50">
        <v>14</v>
      </c>
      <c r="P11" s="50">
        <v>4</v>
      </c>
      <c r="Q11" s="50">
        <v>-5</v>
      </c>
      <c r="R11" s="50">
        <v>0</v>
      </c>
      <c r="S11" s="50">
        <v>-1</v>
      </c>
      <c r="T11" s="50">
        <v>0</v>
      </c>
      <c r="U11" s="50">
        <v>1</v>
      </c>
      <c r="V11" s="50">
        <v>-1</v>
      </c>
      <c r="X11" s="50">
        <f t="shared" si="0"/>
        <v>-3</v>
      </c>
    </row>
    <row r="12" spans="1:24" x14ac:dyDescent="0.25">
      <c r="A12" s="77"/>
      <c r="B12" s="79"/>
      <c r="C12" s="80"/>
      <c r="D12" s="21" t="s">
        <v>6</v>
      </c>
      <c r="E12" s="50">
        <v>-5</v>
      </c>
      <c r="F12" s="50">
        <v>-15</v>
      </c>
      <c r="G12" s="50">
        <v>-2</v>
      </c>
      <c r="H12" s="50">
        <v>-26</v>
      </c>
      <c r="I12" s="50">
        <v>12</v>
      </c>
      <c r="J12" s="50">
        <v>2</v>
      </c>
      <c r="K12" s="50">
        <v>-2</v>
      </c>
      <c r="L12" s="50">
        <v>-33</v>
      </c>
      <c r="M12" s="50">
        <v>-10</v>
      </c>
      <c r="N12" s="50">
        <v>-107</v>
      </c>
      <c r="O12" s="50">
        <v>53</v>
      </c>
      <c r="P12" s="50">
        <v>23</v>
      </c>
      <c r="Q12" s="50">
        <v>0</v>
      </c>
      <c r="R12" s="50">
        <v>-3</v>
      </c>
      <c r="S12" s="50">
        <v>-1</v>
      </c>
      <c r="T12" s="50">
        <v>-7</v>
      </c>
      <c r="U12" s="50">
        <v>6</v>
      </c>
      <c r="V12" s="50">
        <v>-1</v>
      </c>
      <c r="X12" s="50">
        <f t="shared" si="0"/>
        <v>-116</v>
      </c>
    </row>
    <row r="13" spans="1:24" x14ac:dyDescent="0.25">
      <c r="A13" s="77"/>
      <c r="B13" s="79"/>
      <c r="C13" s="80"/>
      <c r="D13" s="21" t="s">
        <v>7</v>
      </c>
      <c r="E13" s="50">
        <v>-3</v>
      </c>
      <c r="F13" s="50">
        <v>-11</v>
      </c>
      <c r="G13" s="50">
        <v>-5</v>
      </c>
      <c r="H13" s="50">
        <v>-10</v>
      </c>
      <c r="I13" s="50">
        <v>-11</v>
      </c>
      <c r="J13" s="50">
        <v>14</v>
      </c>
      <c r="K13" s="50">
        <v>-9</v>
      </c>
      <c r="L13" s="50">
        <v>-22</v>
      </c>
      <c r="M13" s="50">
        <v>-97</v>
      </c>
      <c r="N13" s="50">
        <v>-47</v>
      </c>
      <c r="O13" s="50">
        <v>-103</v>
      </c>
      <c r="P13" s="50">
        <v>78</v>
      </c>
      <c r="Q13" s="50">
        <v>-1</v>
      </c>
      <c r="R13" s="50">
        <v>-2</v>
      </c>
      <c r="S13" s="50">
        <v>-3</v>
      </c>
      <c r="T13" s="50">
        <v>-1</v>
      </c>
      <c r="U13" s="50">
        <v>-4</v>
      </c>
      <c r="V13" s="50">
        <v>0</v>
      </c>
      <c r="X13" s="50">
        <f t="shared" si="0"/>
        <v>-237</v>
      </c>
    </row>
    <row r="14" spans="1:24" x14ac:dyDescent="0.25">
      <c r="A14" s="77"/>
      <c r="B14" s="79"/>
      <c r="C14" s="80" t="s">
        <v>5</v>
      </c>
      <c r="D14" s="21" t="s">
        <v>11</v>
      </c>
      <c r="E14" s="50">
        <v>1</v>
      </c>
      <c r="F14" s="50">
        <v>-25</v>
      </c>
      <c r="G14" s="50">
        <v>-3</v>
      </c>
      <c r="H14" s="50">
        <v>-64</v>
      </c>
      <c r="I14" s="50">
        <v>-5</v>
      </c>
      <c r="J14" s="50">
        <v>-1</v>
      </c>
      <c r="K14" s="50">
        <v>0</v>
      </c>
      <c r="L14" s="50">
        <v>-28</v>
      </c>
      <c r="M14" s="50">
        <v>-15</v>
      </c>
      <c r="N14" s="50">
        <v>-210</v>
      </c>
      <c r="O14" s="50">
        <v>-22</v>
      </c>
      <c r="P14" s="50">
        <v>-1</v>
      </c>
      <c r="Q14" s="50">
        <v>0</v>
      </c>
      <c r="R14" s="50">
        <v>-11</v>
      </c>
      <c r="S14" s="50">
        <v>-3</v>
      </c>
      <c r="T14" s="50">
        <v>-20</v>
      </c>
      <c r="U14" s="50">
        <v>-1</v>
      </c>
      <c r="V14" s="50">
        <v>-2</v>
      </c>
      <c r="X14" s="50">
        <f t="shared" si="0"/>
        <v>-410</v>
      </c>
    </row>
    <row r="15" spans="1:24" x14ac:dyDescent="0.25">
      <c r="A15" s="77"/>
      <c r="B15" s="79"/>
      <c r="C15" s="80"/>
      <c r="D15" s="21" t="s">
        <v>6</v>
      </c>
      <c r="E15" s="50">
        <v>0</v>
      </c>
      <c r="F15" s="50">
        <v>8</v>
      </c>
      <c r="G15" s="50">
        <v>-5</v>
      </c>
      <c r="H15" s="50">
        <v>-9</v>
      </c>
      <c r="I15" s="50">
        <v>42</v>
      </c>
      <c r="J15" s="50">
        <v>6</v>
      </c>
      <c r="K15" s="50">
        <v>4</v>
      </c>
      <c r="L15" s="50">
        <v>31</v>
      </c>
      <c r="M15" s="50">
        <v>-56</v>
      </c>
      <c r="N15" s="50">
        <v>-35</v>
      </c>
      <c r="O15" s="50">
        <v>78</v>
      </c>
      <c r="P15" s="50">
        <v>22</v>
      </c>
      <c r="Q15" s="50">
        <v>-1</v>
      </c>
      <c r="R15" s="50">
        <v>2</v>
      </c>
      <c r="S15" s="50">
        <v>-6</v>
      </c>
      <c r="T15" s="50">
        <v>-2</v>
      </c>
      <c r="U15" s="50">
        <v>22</v>
      </c>
      <c r="V15" s="50">
        <v>0</v>
      </c>
      <c r="X15" s="50">
        <f t="shared" si="0"/>
        <v>101</v>
      </c>
    </row>
    <row r="16" spans="1:24" x14ac:dyDescent="0.25">
      <c r="A16" s="77"/>
      <c r="B16" s="79"/>
      <c r="C16" s="80"/>
      <c r="D16" s="21" t="s">
        <v>7</v>
      </c>
      <c r="E16" s="50">
        <v>-1</v>
      </c>
      <c r="F16" s="50">
        <v>4</v>
      </c>
      <c r="G16" s="50">
        <v>7</v>
      </c>
      <c r="H16" s="50">
        <v>-1</v>
      </c>
      <c r="I16" s="50">
        <v>2</v>
      </c>
      <c r="J16" s="50">
        <v>21</v>
      </c>
      <c r="K16" s="50">
        <v>0</v>
      </c>
      <c r="L16" s="50">
        <v>9</v>
      </c>
      <c r="M16" s="50">
        <v>40</v>
      </c>
      <c r="N16" s="50">
        <v>0</v>
      </c>
      <c r="O16" s="50">
        <v>25</v>
      </c>
      <c r="P16" s="50">
        <v>108</v>
      </c>
      <c r="Q16" s="50">
        <v>-1</v>
      </c>
      <c r="R16" s="50">
        <v>-2</v>
      </c>
      <c r="S16" s="50">
        <v>0</v>
      </c>
      <c r="T16" s="50">
        <v>-2</v>
      </c>
      <c r="U16" s="50">
        <v>0</v>
      </c>
      <c r="V16" s="50">
        <v>5</v>
      </c>
      <c r="X16" s="50">
        <f t="shared" si="0"/>
        <v>214</v>
      </c>
    </row>
    <row r="17" spans="1:24" x14ac:dyDescent="0.25">
      <c r="A17" s="77"/>
      <c r="B17" s="79" t="s">
        <v>3</v>
      </c>
      <c r="C17" s="80" t="s">
        <v>4</v>
      </c>
      <c r="D17" s="21" t="s">
        <v>11</v>
      </c>
      <c r="E17" s="50">
        <v>2</v>
      </c>
      <c r="F17" s="50">
        <v>-10</v>
      </c>
      <c r="G17" s="50">
        <v>-13</v>
      </c>
      <c r="H17" s="50">
        <v>7</v>
      </c>
      <c r="I17" s="50">
        <v>10</v>
      </c>
      <c r="J17" s="50">
        <v>-1</v>
      </c>
      <c r="K17" s="50">
        <v>0</v>
      </c>
      <c r="L17" s="50">
        <v>1</v>
      </c>
      <c r="M17" s="50">
        <v>-1</v>
      </c>
      <c r="N17" s="50">
        <v>0</v>
      </c>
      <c r="O17" s="50">
        <v>-1</v>
      </c>
      <c r="P17" s="50">
        <v>-1</v>
      </c>
      <c r="Q17" s="50">
        <v>-56</v>
      </c>
      <c r="R17" s="50">
        <v>-17</v>
      </c>
      <c r="S17" s="50">
        <v>-29</v>
      </c>
      <c r="T17" s="50">
        <v>11</v>
      </c>
      <c r="U17" s="50">
        <v>11</v>
      </c>
      <c r="V17" s="50">
        <v>0</v>
      </c>
      <c r="X17" s="50">
        <f t="shared" si="0"/>
        <v>-87</v>
      </c>
    </row>
    <row r="18" spans="1:24" x14ac:dyDescent="0.25">
      <c r="A18" s="77"/>
      <c r="B18" s="79"/>
      <c r="C18" s="80"/>
      <c r="D18" s="21" t="s">
        <v>6</v>
      </c>
      <c r="E18" s="50">
        <v>-3</v>
      </c>
      <c r="F18" s="50">
        <v>-15</v>
      </c>
      <c r="G18" s="50">
        <v>-8</v>
      </c>
      <c r="H18" s="50">
        <v>-57</v>
      </c>
      <c r="I18" s="50">
        <v>52</v>
      </c>
      <c r="J18" s="50">
        <v>4</v>
      </c>
      <c r="K18" s="50">
        <v>-1</v>
      </c>
      <c r="L18" s="50">
        <v>0</v>
      </c>
      <c r="M18" s="50">
        <v>-2</v>
      </c>
      <c r="N18" s="50">
        <v>-4</v>
      </c>
      <c r="O18" s="50">
        <v>3</v>
      </c>
      <c r="P18" s="50">
        <v>-1</v>
      </c>
      <c r="Q18" s="50">
        <v>-35</v>
      </c>
      <c r="R18" s="50">
        <v>-90</v>
      </c>
      <c r="S18" s="50">
        <v>-20</v>
      </c>
      <c r="T18" s="50">
        <v>-120</v>
      </c>
      <c r="U18" s="50">
        <v>83</v>
      </c>
      <c r="V18" s="50">
        <v>16</v>
      </c>
      <c r="X18" s="50">
        <f t="shared" si="0"/>
        <v>-198</v>
      </c>
    </row>
    <row r="19" spans="1:24" x14ac:dyDescent="0.25">
      <c r="A19" s="77"/>
      <c r="B19" s="79"/>
      <c r="C19" s="80"/>
      <c r="D19" s="21" t="s">
        <v>7</v>
      </c>
      <c r="E19" s="50">
        <v>-10</v>
      </c>
      <c r="F19" s="50">
        <v>-6</v>
      </c>
      <c r="G19" s="50">
        <v>-44</v>
      </c>
      <c r="H19" s="50">
        <v>-28</v>
      </c>
      <c r="I19" s="50">
        <v>-24</v>
      </c>
      <c r="J19" s="50">
        <v>18</v>
      </c>
      <c r="K19" s="50">
        <v>0</v>
      </c>
      <c r="L19" s="50">
        <v>-3</v>
      </c>
      <c r="M19" s="50">
        <v>-4</v>
      </c>
      <c r="N19" s="50">
        <v>-7</v>
      </c>
      <c r="O19" s="50">
        <v>-5</v>
      </c>
      <c r="P19" s="50">
        <v>1</v>
      </c>
      <c r="Q19" s="50">
        <v>-34</v>
      </c>
      <c r="R19" s="50">
        <v>-26</v>
      </c>
      <c r="S19" s="50">
        <v>-65</v>
      </c>
      <c r="T19" s="50">
        <v>-75</v>
      </c>
      <c r="U19" s="50">
        <v>-64</v>
      </c>
      <c r="V19" s="50">
        <v>32</v>
      </c>
      <c r="X19" s="50">
        <f t="shared" si="0"/>
        <v>-344</v>
      </c>
    </row>
    <row r="20" spans="1:24" x14ac:dyDescent="0.25">
      <c r="A20" s="77"/>
      <c r="B20" s="79"/>
      <c r="C20" s="80" t="s">
        <v>5</v>
      </c>
      <c r="D20" s="21" t="s">
        <v>11</v>
      </c>
      <c r="E20" s="50">
        <v>6</v>
      </c>
      <c r="F20" s="50">
        <v>-35</v>
      </c>
      <c r="G20" s="50">
        <v>-21</v>
      </c>
      <c r="H20" s="50">
        <v>-166</v>
      </c>
      <c r="I20" s="50">
        <v>-3</v>
      </c>
      <c r="J20" s="50">
        <v>-1</v>
      </c>
      <c r="K20" s="50">
        <v>-1</v>
      </c>
      <c r="L20" s="50">
        <v>-5</v>
      </c>
      <c r="M20" s="50">
        <v>-1</v>
      </c>
      <c r="N20" s="50">
        <v>-10</v>
      </c>
      <c r="O20" s="50">
        <v>1</v>
      </c>
      <c r="P20" s="50">
        <v>-2</v>
      </c>
      <c r="Q20" s="50">
        <v>-6</v>
      </c>
      <c r="R20" s="50">
        <v>-73</v>
      </c>
      <c r="S20" s="50">
        <v>-50</v>
      </c>
      <c r="T20" s="50">
        <v>-759</v>
      </c>
      <c r="U20" s="50">
        <v>-21</v>
      </c>
      <c r="V20" s="50">
        <v>0</v>
      </c>
      <c r="X20" s="50">
        <f t="shared" si="0"/>
        <v>-1147</v>
      </c>
    </row>
    <row r="21" spans="1:24" x14ac:dyDescent="0.25">
      <c r="A21" s="77"/>
      <c r="B21" s="79"/>
      <c r="C21" s="80"/>
      <c r="D21" s="21" t="s">
        <v>6</v>
      </c>
      <c r="E21" s="50">
        <v>4</v>
      </c>
      <c r="F21" s="50">
        <v>16</v>
      </c>
      <c r="G21" s="50">
        <v>-18</v>
      </c>
      <c r="H21" s="50">
        <v>-10</v>
      </c>
      <c r="I21" s="50">
        <v>205</v>
      </c>
      <c r="J21" s="50">
        <v>27</v>
      </c>
      <c r="K21" s="50">
        <v>-1</v>
      </c>
      <c r="L21" s="50">
        <v>2</v>
      </c>
      <c r="M21" s="50">
        <v>-2</v>
      </c>
      <c r="N21" s="50">
        <v>-2</v>
      </c>
      <c r="O21" s="50">
        <v>8</v>
      </c>
      <c r="P21" s="50">
        <v>0</v>
      </c>
      <c r="Q21" s="50">
        <v>7</v>
      </c>
      <c r="R21" s="50">
        <v>44</v>
      </c>
      <c r="S21" s="50">
        <v>-34</v>
      </c>
      <c r="T21" s="50">
        <v>-33</v>
      </c>
      <c r="U21" s="50">
        <v>426</v>
      </c>
      <c r="V21" s="50">
        <v>29</v>
      </c>
      <c r="X21" s="50">
        <f t="shared" si="0"/>
        <v>668</v>
      </c>
    </row>
    <row r="22" spans="1:24" x14ac:dyDescent="0.25">
      <c r="A22" s="78"/>
      <c r="B22" s="79"/>
      <c r="C22" s="80"/>
      <c r="D22" s="21" t="s">
        <v>7</v>
      </c>
      <c r="E22" s="51">
        <v>-2</v>
      </c>
      <c r="F22" s="51">
        <v>0</v>
      </c>
      <c r="G22" s="51">
        <v>10</v>
      </c>
      <c r="H22" s="51">
        <v>-2</v>
      </c>
      <c r="I22" s="51">
        <v>10</v>
      </c>
      <c r="J22" s="51">
        <v>41</v>
      </c>
      <c r="K22" s="51">
        <v>-1</v>
      </c>
      <c r="L22" s="51">
        <v>-1</v>
      </c>
      <c r="M22" s="51">
        <v>0</v>
      </c>
      <c r="N22" s="51">
        <v>-2</v>
      </c>
      <c r="O22" s="51">
        <v>0</v>
      </c>
      <c r="P22" s="51">
        <v>4</v>
      </c>
      <c r="Q22" s="51">
        <v>-2</v>
      </c>
      <c r="R22" s="51">
        <v>8</v>
      </c>
      <c r="S22" s="51">
        <v>25</v>
      </c>
      <c r="T22" s="51">
        <v>0</v>
      </c>
      <c r="U22" s="51">
        <v>15</v>
      </c>
      <c r="V22" s="51">
        <v>72</v>
      </c>
      <c r="X22" s="50">
        <f t="shared" si="0"/>
        <v>175</v>
      </c>
    </row>
    <row r="23" spans="1:24" ht="9.75" customHeight="1" x14ac:dyDescent="0.25"/>
    <row r="24" spans="1:24" ht="27.75" customHeight="1" x14ac:dyDescent="0.25">
      <c r="B24" s="81" t="s">
        <v>21</v>
      </c>
      <c r="C24" s="81"/>
      <c r="D24" s="81"/>
      <c r="E24" s="50">
        <f>SUM(E5:E23)</f>
        <v>-349</v>
      </c>
      <c r="F24" s="50">
        <f t="shared" ref="F24:V24" si="1">SUM(F5:F22)</f>
        <v>-638</v>
      </c>
      <c r="G24" s="50">
        <f t="shared" si="1"/>
        <v>-1909</v>
      </c>
      <c r="H24" s="50">
        <f t="shared" si="1"/>
        <v>-4953</v>
      </c>
      <c r="I24" s="50">
        <f t="shared" si="1"/>
        <v>3033</v>
      </c>
      <c r="J24" s="50">
        <f t="shared" si="1"/>
        <v>2542</v>
      </c>
      <c r="K24" s="50">
        <f t="shared" si="1"/>
        <v>-17</v>
      </c>
      <c r="L24" s="50">
        <f t="shared" si="1"/>
        <v>-42</v>
      </c>
      <c r="M24" s="50">
        <f t="shared" si="1"/>
        <v>-169</v>
      </c>
      <c r="N24" s="50">
        <f t="shared" si="1"/>
        <v>-460</v>
      </c>
      <c r="O24" s="50">
        <f t="shared" si="1"/>
        <v>94</v>
      </c>
      <c r="P24" s="50">
        <f t="shared" si="1"/>
        <v>264</v>
      </c>
      <c r="Q24" s="50">
        <f t="shared" si="1"/>
        <v>-138</v>
      </c>
      <c r="R24" s="50">
        <f t="shared" si="1"/>
        <v>-173</v>
      </c>
      <c r="S24" s="50">
        <f t="shared" si="1"/>
        <v>-270</v>
      </c>
      <c r="T24" s="50">
        <f t="shared" si="1"/>
        <v>-1437</v>
      </c>
      <c r="U24" s="50">
        <f t="shared" si="1"/>
        <v>761</v>
      </c>
      <c r="V24" s="50">
        <f t="shared" si="1"/>
        <v>319</v>
      </c>
      <c r="X24" s="50">
        <f t="shared" si="0"/>
        <v>-3542</v>
      </c>
    </row>
  </sheetData>
  <mergeCells count="22">
    <mergeCell ref="C20:C22"/>
    <mergeCell ref="B24:D24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E1:V1"/>
    <mergeCell ref="E2:J2"/>
    <mergeCell ref="K2:P2"/>
    <mergeCell ref="Q2:V2"/>
    <mergeCell ref="X2:X4"/>
    <mergeCell ref="E3:G3"/>
    <mergeCell ref="H3:J3"/>
    <mergeCell ref="K3:M3"/>
    <mergeCell ref="N3:P3"/>
    <mergeCell ref="Q3:S3"/>
  </mergeCells>
  <conditionalFormatting sqref="E5:V22">
    <cfRule type="cellIs" dxfId="11" priority="5" operator="lessThan">
      <formula>0</formula>
    </cfRule>
    <cfRule type="cellIs" dxfId="10" priority="6" operator="greaterThan">
      <formula>0</formula>
    </cfRule>
  </conditionalFormatting>
  <conditionalFormatting sqref="E24:V24">
    <cfRule type="cellIs" dxfId="9" priority="2" operator="lessThan">
      <formula>0</formula>
    </cfRule>
    <cfRule type="cellIs" dxfId="8" priority="3" operator="greaterThan">
      <formula>0</formula>
    </cfRule>
  </conditionalFormatting>
  <conditionalFormatting sqref="X5:X24">
    <cfRule type="cellIs" dxfId="7" priority="1" operator="lessThan">
      <formula>0</formula>
    </cfRule>
    <cfRule type="cellIs" dxfId="6" priority="4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56F1-73F7-4069-89D7-F0309E821C10}">
  <dimension ref="A1:Y25"/>
  <sheetViews>
    <sheetView showGridLines="0" workbookViewId="0">
      <selection activeCell="O14" sqref="O14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16384" width="9.140625" style="11"/>
  </cols>
  <sheetData>
    <row r="1" spans="1:25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5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</row>
    <row r="3" spans="1:25" ht="15.75" x14ac:dyDescent="0.25">
      <c r="B3" s="52" t="s">
        <v>18</v>
      </c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</row>
    <row r="4" spans="1:25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</row>
    <row r="5" spans="1:25" x14ac:dyDescent="0.25">
      <c r="A5" s="76" t="s">
        <v>12</v>
      </c>
      <c r="B5" s="79" t="s">
        <v>1</v>
      </c>
      <c r="C5" s="80" t="s">
        <v>4</v>
      </c>
      <c r="D5" s="19" t="s">
        <v>13</v>
      </c>
      <c r="E5" s="53">
        <v>6.2386838408446001</v>
      </c>
      <c r="F5" s="54">
        <v>6.2386872341568296</v>
      </c>
      <c r="G5" s="54">
        <v>6.2386858820628799</v>
      </c>
      <c r="H5" s="54">
        <v>6.2386874556609504</v>
      </c>
      <c r="I5" s="54">
        <v>6.23868695998073</v>
      </c>
      <c r="J5" s="54">
        <v>6.2386861844051102</v>
      </c>
      <c r="K5" s="54">
        <v>6.23868752234646</v>
      </c>
      <c r="L5" s="54">
        <v>6.2386897510569099</v>
      </c>
      <c r="M5" s="54">
        <v>6.2386889628476201</v>
      </c>
      <c r="N5" s="54">
        <v>6.2386912702003103</v>
      </c>
      <c r="O5" s="54">
        <v>6.2386907546564503</v>
      </c>
      <c r="P5" s="54">
        <v>6.2386902167741303</v>
      </c>
      <c r="Q5" s="54">
        <v>6.2386865004303296</v>
      </c>
      <c r="R5" s="54">
        <v>6.2386899962603604</v>
      </c>
      <c r="S5" s="54">
        <v>6.23869004862597</v>
      </c>
      <c r="T5" s="54">
        <v>6.2386900068476798</v>
      </c>
      <c r="U5" s="54">
        <v>6.2386896773754099</v>
      </c>
      <c r="V5" s="54">
        <v>6.2386906128057298</v>
      </c>
      <c r="Y5" s="25"/>
    </row>
    <row r="6" spans="1:25" x14ac:dyDescent="0.25">
      <c r="A6" s="77"/>
      <c r="B6" s="79"/>
      <c r="C6" s="80"/>
      <c r="D6" s="19" t="s">
        <v>14</v>
      </c>
      <c r="E6" s="36">
        <v>5.1471292847368799</v>
      </c>
      <c r="F6" s="37">
        <v>5.1471593956870301</v>
      </c>
      <c r="G6" s="37">
        <v>5.1471473979171902</v>
      </c>
      <c r="H6" s="37">
        <v>5.14716136117364</v>
      </c>
      <c r="I6" s="37">
        <v>5.1471569628133498</v>
      </c>
      <c r="J6" s="37">
        <v>5.1471500807651198</v>
      </c>
      <c r="K6" s="37">
        <v>5.1471619528970196</v>
      </c>
      <c r="L6" s="37">
        <v>5.1471817286529404</v>
      </c>
      <c r="M6" s="37">
        <v>5.1471747348069297</v>
      </c>
      <c r="N6" s="37">
        <v>5.1471952078926799</v>
      </c>
      <c r="O6" s="37">
        <v>5.1471906335487798</v>
      </c>
      <c r="P6" s="37">
        <v>5.1471858609594596</v>
      </c>
      <c r="Q6" s="37">
        <v>5.1471528850160597</v>
      </c>
      <c r="R6" s="37">
        <v>5.14718390434569</v>
      </c>
      <c r="S6" s="37">
        <v>5.1471843689851697</v>
      </c>
      <c r="T6" s="37">
        <v>5.1471839982868204</v>
      </c>
      <c r="U6" s="37">
        <v>5.1471810748745401</v>
      </c>
      <c r="V6" s="37">
        <v>5.1471893749218998</v>
      </c>
      <c r="Y6" s="25"/>
    </row>
    <row r="7" spans="1:25" x14ac:dyDescent="0.25">
      <c r="A7" s="77"/>
      <c r="B7" s="79"/>
      <c r="C7" s="80"/>
      <c r="D7" s="19" t="s">
        <v>15</v>
      </c>
      <c r="E7" s="36">
        <v>5.9652201750323099</v>
      </c>
      <c r="F7" s="37">
        <v>5.96522603844243</v>
      </c>
      <c r="G7" s="37">
        <v>5.9652237021205599</v>
      </c>
      <c r="H7" s="37">
        <v>5.9652264211853101</v>
      </c>
      <c r="I7" s="37">
        <v>5.9652255646860697</v>
      </c>
      <c r="J7" s="37">
        <v>5.9652242245467599</v>
      </c>
      <c r="K7" s="37">
        <v>5.9652265364129402</v>
      </c>
      <c r="L7" s="37">
        <v>5.9652303874539196</v>
      </c>
      <c r="M7" s="37">
        <v>5.9652290254900704</v>
      </c>
      <c r="N7" s="37">
        <v>5.9652330124102102</v>
      </c>
      <c r="O7" s="37">
        <v>5.9652321215929902</v>
      </c>
      <c r="P7" s="37">
        <v>5.9652311921760397</v>
      </c>
      <c r="Q7" s="37">
        <v>5.9652247706159596</v>
      </c>
      <c r="R7" s="37">
        <v>5.9652308111459504</v>
      </c>
      <c r="S7" s="37">
        <v>5.9652309016295204</v>
      </c>
      <c r="T7" s="37">
        <v>5.9652308294399701</v>
      </c>
      <c r="U7" s="37">
        <v>5.9652302601381297</v>
      </c>
      <c r="V7" s="37">
        <v>5.9652318764865297</v>
      </c>
      <c r="Y7" s="25"/>
    </row>
    <row r="8" spans="1:25" x14ac:dyDescent="0.25">
      <c r="A8" s="77"/>
      <c r="B8" s="79"/>
      <c r="C8" s="80" t="s">
        <v>5</v>
      </c>
      <c r="D8" s="21" t="s">
        <v>11</v>
      </c>
      <c r="E8" s="36">
        <v>5.2544670166196603</v>
      </c>
      <c r="F8" s="37">
        <v>5.25449131037296</v>
      </c>
      <c r="G8" s="37">
        <v>5.2544816304432604</v>
      </c>
      <c r="H8" s="37">
        <v>5.2544928961529704</v>
      </c>
      <c r="I8" s="37">
        <v>5.25448934750069</v>
      </c>
      <c r="J8" s="37">
        <v>5.2544837949899197</v>
      </c>
      <c r="K8" s="37">
        <v>5.2544933735632702</v>
      </c>
      <c r="L8" s="37">
        <v>5.25450932896947</v>
      </c>
      <c r="M8" s="37">
        <v>5.25450368620516</v>
      </c>
      <c r="N8" s="37">
        <v>5.25452020431237</v>
      </c>
      <c r="O8" s="37">
        <v>5.2545165136261698</v>
      </c>
      <c r="P8" s="37">
        <v>5.2545126629979499</v>
      </c>
      <c r="Q8" s="37">
        <v>5.2544860574880499</v>
      </c>
      <c r="R8" s="37">
        <v>5.2545110843617202</v>
      </c>
      <c r="S8" s="37">
        <v>5.2545114592423001</v>
      </c>
      <c r="T8" s="37">
        <v>5.2545111601553298</v>
      </c>
      <c r="U8" s="37">
        <v>5.2545088014883197</v>
      </c>
      <c r="V8" s="37">
        <v>5.2545154981381197</v>
      </c>
      <c r="Y8" s="25"/>
    </row>
    <row r="9" spans="1:25" x14ac:dyDescent="0.25">
      <c r="A9" s="77"/>
      <c r="B9" s="79"/>
      <c r="C9" s="80"/>
      <c r="D9" s="21" t="s">
        <v>6</v>
      </c>
      <c r="E9" s="36">
        <v>5.50353042587692</v>
      </c>
      <c r="F9" s="37">
        <v>5.5035451885508602</v>
      </c>
      <c r="G9" s="37">
        <v>5.5035393062788502</v>
      </c>
      <c r="H9" s="37">
        <v>5.5035461521973899</v>
      </c>
      <c r="I9" s="37">
        <v>5.5035439957546402</v>
      </c>
      <c r="J9" s="37">
        <v>5.5035406216205001</v>
      </c>
      <c r="K9" s="37">
        <v>5.5035464423102303</v>
      </c>
      <c r="L9" s="37">
        <v>5.5035561381590803</v>
      </c>
      <c r="M9" s="37">
        <v>5.5035527091262901</v>
      </c>
      <c r="N9" s="37">
        <v>5.5035627470031097</v>
      </c>
      <c r="O9" s="37">
        <v>5.5035605042013502</v>
      </c>
      <c r="P9" s="37">
        <v>5.5035581642109701</v>
      </c>
      <c r="Q9" s="37">
        <v>5.5035419964872299</v>
      </c>
      <c r="R9" s="37">
        <v>5.5035572048906998</v>
      </c>
      <c r="S9" s="37">
        <v>5.5035574327014896</v>
      </c>
      <c r="T9" s="37">
        <v>5.5035572509496298</v>
      </c>
      <c r="U9" s="37">
        <v>5.50355581761516</v>
      </c>
      <c r="V9" s="37">
        <v>5.5035598870981701</v>
      </c>
      <c r="Y9" s="25"/>
    </row>
    <row r="10" spans="1:25" x14ac:dyDescent="0.25">
      <c r="A10" s="77"/>
      <c r="B10" s="79"/>
      <c r="C10" s="80"/>
      <c r="D10" s="21" t="s">
        <v>7</v>
      </c>
      <c r="E10" s="36">
        <v>5.9289535547060499</v>
      </c>
      <c r="F10" s="37">
        <v>5.9289598592092103</v>
      </c>
      <c r="G10" s="37">
        <v>5.9289573471310204</v>
      </c>
      <c r="H10" s="37">
        <v>5.9289602707449003</v>
      </c>
      <c r="I10" s="37">
        <v>5.9289593498132804</v>
      </c>
      <c r="J10" s="37">
        <v>5.9289579088582602</v>
      </c>
      <c r="K10" s="37">
        <v>5.9289603946408302</v>
      </c>
      <c r="L10" s="37">
        <v>5.9289645353848597</v>
      </c>
      <c r="M10" s="37">
        <v>5.9289630709645396</v>
      </c>
      <c r="N10" s="37">
        <v>5.9289673578078999</v>
      </c>
      <c r="O10" s="37">
        <v>5.9289663999775799</v>
      </c>
      <c r="P10" s="37">
        <v>5.9289654006436701</v>
      </c>
      <c r="Q10" s="37">
        <v>5.9289584960070698</v>
      </c>
      <c r="R10" s="37">
        <v>5.9289649909499103</v>
      </c>
      <c r="S10" s="37">
        <v>5.92896508824027</v>
      </c>
      <c r="T10" s="37">
        <v>5.9289650106201304</v>
      </c>
      <c r="U10" s="37">
        <v>5.9289643984914902</v>
      </c>
      <c r="V10" s="37">
        <v>5.9289661364325896</v>
      </c>
      <c r="Y10" s="25"/>
    </row>
    <row r="11" spans="1:25" x14ac:dyDescent="0.25">
      <c r="A11" s="77"/>
      <c r="B11" s="79" t="s">
        <v>2</v>
      </c>
      <c r="C11" s="80" t="s">
        <v>4</v>
      </c>
      <c r="D11" s="21" t="s">
        <v>11</v>
      </c>
      <c r="E11" s="36">
        <v>5.2597202351402901</v>
      </c>
      <c r="F11" s="37">
        <v>5.2597442749950503</v>
      </c>
      <c r="G11" s="37">
        <v>5.2597346962306402</v>
      </c>
      <c r="H11" s="37">
        <v>5.25974584420221</v>
      </c>
      <c r="I11" s="37">
        <v>5.2597423326366703</v>
      </c>
      <c r="J11" s="37">
        <v>5.25973683815538</v>
      </c>
      <c r="K11" s="37">
        <v>5.25974631662314</v>
      </c>
      <c r="L11" s="37">
        <v>5.2597621052837402</v>
      </c>
      <c r="M11" s="37">
        <v>5.2597565214898303</v>
      </c>
      <c r="N11" s="37">
        <v>5.2597728669744299</v>
      </c>
      <c r="O11" s="37">
        <v>5.2597692148572799</v>
      </c>
      <c r="P11" s="37">
        <v>5.2597654044698698</v>
      </c>
      <c r="Q11" s="37">
        <v>5.2597390770079899</v>
      </c>
      <c r="R11" s="37">
        <v>5.2597638423311901</v>
      </c>
      <c r="S11" s="37">
        <v>5.2597642132940701</v>
      </c>
      <c r="T11" s="37">
        <v>5.2597639173327098</v>
      </c>
      <c r="U11" s="37">
        <v>5.2597615833150702</v>
      </c>
      <c r="V11" s="37">
        <v>5.2597682099815</v>
      </c>
      <c r="Y11" s="25"/>
    </row>
    <row r="12" spans="1:25" x14ac:dyDescent="0.25">
      <c r="A12" s="77"/>
      <c r="B12" s="79"/>
      <c r="C12" s="80"/>
      <c r="D12" s="21" t="s">
        <v>6</v>
      </c>
      <c r="E12" s="36">
        <v>4.5169447865101198</v>
      </c>
      <c r="F12" s="37">
        <v>4.51705097139999</v>
      </c>
      <c r="G12" s="37">
        <v>4.5170086637489897</v>
      </c>
      <c r="H12" s="37">
        <v>4.5170579020370596</v>
      </c>
      <c r="I12" s="37">
        <v>4.5170423925820096</v>
      </c>
      <c r="J12" s="37">
        <v>4.5170181244793302</v>
      </c>
      <c r="K12" s="37">
        <v>4.5170599885399296</v>
      </c>
      <c r="L12" s="37">
        <v>4.5171297171504401</v>
      </c>
      <c r="M12" s="37">
        <v>4.51710505789484</v>
      </c>
      <c r="N12" s="37">
        <v>4.5171772404773396</v>
      </c>
      <c r="O12" s="37">
        <v>4.5171611132212197</v>
      </c>
      <c r="P12" s="37">
        <v>4.5171442866360403</v>
      </c>
      <c r="Q12" s="37">
        <v>4.5170280131852003</v>
      </c>
      <c r="R12" s="37">
        <v>4.51713738814016</v>
      </c>
      <c r="S12" s="37">
        <v>4.5171390263406304</v>
      </c>
      <c r="T12" s="37">
        <v>4.5171377193529603</v>
      </c>
      <c r="U12" s="37">
        <v>4.5171274120624298</v>
      </c>
      <c r="V12" s="37">
        <v>4.5171566757549098</v>
      </c>
      <c r="Y12" s="25"/>
    </row>
    <row r="13" spans="1:25" x14ac:dyDescent="0.25">
      <c r="A13" s="77"/>
      <c r="B13" s="79"/>
      <c r="C13" s="80"/>
      <c r="D13" s="21" t="s">
        <v>7</v>
      </c>
      <c r="E13" s="36">
        <v>5.13623769394761</v>
      </c>
      <c r="F13" s="37">
        <v>5.1362684679857296</v>
      </c>
      <c r="G13" s="37">
        <v>5.1362562060120096</v>
      </c>
      <c r="H13" s="37">
        <v>5.1362704767538698</v>
      </c>
      <c r="I13" s="37">
        <v>5.1362659815380596</v>
      </c>
      <c r="J13" s="37">
        <v>5.13625894793973</v>
      </c>
      <c r="K13" s="37">
        <v>5.1362710815074104</v>
      </c>
      <c r="L13" s="37">
        <v>5.1362912927304603</v>
      </c>
      <c r="M13" s="37">
        <v>5.1362841448802001</v>
      </c>
      <c r="N13" s="37">
        <v>5.1363050687763598</v>
      </c>
      <c r="O13" s="37">
        <v>5.1363003937085896</v>
      </c>
      <c r="P13" s="37">
        <v>5.1362955160291799</v>
      </c>
      <c r="Q13" s="37">
        <v>5.1362618139435403</v>
      </c>
      <c r="R13" s="37">
        <v>5.1362935163314303</v>
      </c>
      <c r="S13" s="37">
        <v>5.1362939912021304</v>
      </c>
      <c r="T13" s="37">
        <v>5.1362936123411096</v>
      </c>
      <c r="U13" s="37">
        <v>5.1362906245559703</v>
      </c>
      <c r="V13" s="37">
        <v>5.1362991073674698</v>
      </c>
      <c r="Y13" s="25"/>
    </row>
    <row r="14" spans="1:25" x14ac:dyDescent="0.25">
      <c r="A14" s="77"/>
      <c r="B14" s="79"/>
      <c r="C14" s="80" t="s">
        <v>5</v>
      </c>
      <c r="D14" s="21" t="s">
        <v>11</v>
      </c>
      <c r="E14" s="36">
        <v>4.3005281609933803</v>
      </c>
      <c r="F14" s="37">
        <v>4.3006918482384497</v>
      </c>
      <c r="G14" s="37">
        <v>4.3006266319605402</v>
      </c>
      <c r="H14" s="37">
        <v>4.3007025313723997</v>
      </c>
      <c r="I14" s="37">
        <v>4.30067862442794</v>
      </c>
      <c r="J14" s="37">
        <v>4.3006412157196996</v>
      </c>
      <c r="K14" s="37">
        <v>4.3007057475674797</v>
      </c>
      <c r="L14" s="37">
        <v>4.3008132250592004</v>
      </c>
      <c r="M14" s="37">
        <v>4.3007752169839604</v>
      </c>
      <c r="N14" s="37">
        <v>4.3008864713745201</v>
      </c>
      <c r="O14" s="37">
        <v>4.3008616153282304</v>
      </c>
      <c r="P14" s="37">
        <v>4.3008356809822397</v>
      </c>
      <c r="Q14" s="37">
        <v>4.3006564590453902</v>
      </c>
      <c r="R14" s="37">
        <v>4.3008250483865798</v>
      </c>
      <c r="S14" s="37">
        <v>4.3008275733388501</v>
      </c>
      <c r="T14" s="37">
        <v>4.3008255588839903</v>
      </c>
      <c r="U14" s="37">
        <v>4.3008096721985796</v>
      </c>
      <c r="V14" s="37">
        <v>4.3008547760311497</v>
      </c>
      <c r="Y14" s="25"/>
    </row>
    <row r="15" spans="1:25" x14ac:dyDescent="0.25">
      <c r="A15" s="77"/>
      <c r="B15" s="79"/>
      <c r="C15" s="80"/>
      <c r="D15" s="21" t="s">
        <v>6</v>
      </c>
      <c r="E15" s="36">
        <v>4.6552014482063404</v>
      </c>
      <c r="F15" s="37">
        <v>4.6552819833894201</v>
      </c>
      <c r="G15" s="37">
        <v>4.6552498949538901</v>
      </c>
      <c r="H15" s="37">
        <v>4.6552872400259897</v>
      </c>
      <c r="I15" s="37">
        <v>4.6552754766918403</v>
      </c>
      <c r="J15" s="37">
        <v>4.6552570704320697</v>
      </c>
      <c r="K15" s="37">
        <v>4.65528882256611</v>
      </c>
      <c r="L15" s="37">
        <v>4.6553417102179804</v>
      </c>
      <c r="M15" s="37">
        <v>4.6553230064992102</v>
      </c>
      <c r="N15" s="37">
        <v>4.65537775666039</v>
      </c>
      <c r="O15" s="37">
        <v>4.65536552404423</v>
      </c>
      <c r="P15" s="37">
        <v>4.65535276108454</v>
      </c>
      <c r="Q15" s="37">
        <v>4.65526457054278</v>
      </c>
      <c r="R15" s="37">
        <v>4.6553475286075097</v>
      </c>
      <c r="S15" s="37">
        <v>4.6553487711733696</v>
      </c>
      <c r="T15" s="37">
        <v>4.6553477798304801</v>
      </c>
      <c r="U15" s="37">
        <v>4.6553399618298199</v>
      </c>
      <c r="V15" s="37">
        <v>4.6553621582173204</v>
      </c>
      <c r="Y15" s="25"/>
    </row>
    <row r="16" spans="1:25" x14ac:dyDescent="0.25">
      <c r="A16" s="77"/>
      <c r="B16" s="79"/>
      <c r="C16" s="80"/>
      <c r="D16" s="21" t="s">
        <v>7</v>
      </c>
      <c r="E16" s="36">
        <v>5.0490417393059897</v>
      </c>
      <c r="F16" s="37">
        <v>5.0490783762621696</v>
      </c>
      <c r="G16" s="37">
        <v>5.0490637782491499</v>
      </c>
      <c r="H16" s="37">
        <v>5.0490807677159797</v>
      </c>
      <c r="I16" s="37">
        <v>5.0490754161247002</v>
      </c>
      <c r="J16" s="37">
        <v>5.0490670425498196</v>
      </c>
      <c r="K16" s="37">
        <v>5.04908148767933</v>
      </c>
      <c r="L16" s="37">
        <v>5.0491055491873</v>
      </c>
      <c r="M16" s="37">
        <v>5.0490970396761501</v>
      </c>
      <c r="N16" s="37">
        <v>5.04912194949575</v>
      </c>
      <c r="O16" s="37">
        <v>5.0491163838624002</v>
      </c>
      <c r="P16" s="37">
        <v>5.0491105770108202</v>
      </c>
      <c r="Q16" s="37">
        <v>5.0490704545610603</v>
      </c>
      <c r="R16" s="37">
        <v>5.0491081963780999</v>
      </c>
      <c r="S16" s="37">
        <v>5.0491087617100696</v>
      </c>
      <c r="T16" s="37">
        <v>5.04910831067731</v>
      </c>
      <c r="U16" s="37">
        <v>5.0491047537269802</v>
      </c>
      <c r="V16" s="37">
        <v>5.0491148524811296</v>
      </c>
      <c r="Y16" s="25"/>
    </row>
    <row r="17" spans="1:25" x14ac:dyDescent="0.25">
      <c r="A17" s="77"/>
      <c r="B17" s="79" t="s">
        <v>3</v>
      </c>
      <c r="C17" s="80" t="s">
        <v>4</v>
      </c>
      <c r="D17" s="21" t="s">
        <v>11</v>
      </c>
      <c r="E17" s="36">
        <v>5.5551661160707102</v>
      </c>
      <c r="F17" s="37">
        <v>5.55517943028266</v>
      </c>
      <c r="G17" s="37">
        <v>5.5551741251540001</v>
      </c>
      <c r="H17" s="37">
        <v>5.5551802993808899</v>
      </c>
      <c r="I17" s="37">
        <v>5.5551783545179996</v>
      </c>
      <c r="J17" s="37">
        <v>5.5551753114394202</v>
      </c>
      <c r="K17" s="37">
        <v>5.5551805610293199</v>
      </c>
      <c r="L17" s="37">
        <v>5.55518930557849</v>
      </c>
      <c r="M17" s="37">
        <v>5.5551862129803196</v>
      </c>
      <c r="N17" s="37">
        <v>5.5551952660111299</v>
      </c>
      <c r="O17" s="37">
        <v>5.5551932432557898</v>
      </c>
      <c r="P17" s="37">
        <v>5.5551911328481696</v>
      </c>
      <c r="Q17" s="37">
        <v>5.5551765514098896</v>
      </c>
      <c r="R17" s="37">
        <v>5.5551902676496798</v>
      </c>
      <c r="S17" s="37">
        <v>5.5551904731092598</v>
      </c>
      <c r="T17" s="37">
        <v>5.55519030918963</v>
      </c>
      <c r="U17" s="37">
        <v>5.5551890164841797</v>
      </c>
      <c r="V17" s="37">
        <v>5.5551926866981702</v>
      </c>
      <c r="Y17" s="25"/>
    </row>
    <row r="18" spans="1:25" x14ac:dyDescent="0.25">
      <c r="A18" s="77"/>
      <c r="B18" s="79"/>
      <c r="C18" s="80"/>
      <c r="D18" s="21" t="s">
        <v>6</v>
      </c>
      <c r="E18" s="36">
        <v>4.4535624867778996</v>
      </c>
      <c r="F18" s="37">
        <v>4.45368302080173</v>
      </c>
      <c r="G18" s="37">
        <v>4.4536349963850501</v>
      </c>
      <c r="H18" s="37">
        <v>4.4536908878796702</v>
      </c>
      <c r="I18" s="37">
        <v>4.4536732828266397</v>
      </c>
      <c r="J18" s="37">
        <v>4.4536457355317998</v>
      </c>
      <c r="K18" s="37">
        <v>4.4536932562998501</v>
      </c>
      <c r="L18" s="37">
        <v>4.4537724055061201</v>
      </c>
      <c r="M18" s="37">
        <v>4.4537444148634098</v>
      </c>
      <c r="N18" s="37">
        <v>4.4538263485575298</v>
      </c>
      <c r="O18" s="37">
        <v>4.4538080428164699</v>
      </c>
      <c r="P18" s="37">
        <v>4.4537889431953097</v>
      </c>
      <c r="Q18" s="37">
        <v>4.4536569604565104</v>
      </c>
      <c r="R18" s="37">
        <v>4.4537811127841502</v>
      </c>
      <c r="S18" s="37">
        <v>4.4537829722898499</v>
      </c>
      <c r="T18" s="37">
        <v>4.4537814887406997</v>
      </c>
      <c r="U18" s="37">
        <v>4.45376978901594</v>
      </c>
      <c r="V18" s="37">
        <v>4.4538030059190401</v>
      </c>
      <c r="Y18" s="25"/>
    </row>
    <row r="19" spans="1:25" x14ac:dyDescent="0.25">
      <c r="A19" s="77"/>
      <c r="B19" s="79"/>
      <c r="C19" s="80"/>
      <c r="D19" s="21" t="s">
        <v>7</v>
      </c>
      <c r="E19" s="36">
        <v>4.9243414239746999</v>
      </c>
      <c r="F19" s="37">
        <v>4.9243884380821896</v>
      </c>
      <c r="G19" s="37">
        <v>4.9243697054051099</v>
      </c>
      <c r="H19" s="37">
        <v>4.9243915068639703</v>
      </c>
      <c r="I19" s="37">
        <v>4.9243846395435504</v>
      </c>
      <c r="J19" s="37">
        <v>4.9243738942824997</v>
      </c>
      <c r="K19" s="37">
        <v>4.9243924307406699</v>
      </c>
      <c r="L19" s="37">
        <v>4.9244233069104899</v>
      </c>
      <c r="M19" s="37">
        <v>4.9244123873972798</v>
      </c>
      <c r="N19" s="37">
        <v>4.9244443518469403</v>
      </c>
      <c r="O19" s="37">
        <v>4.92443721002756</v>
      </c>
      <c r="P19" s="37">
        <v>4.9244297586530097</v>
      </c>
      <c r="Q19" s="37">
        <v>4.92437827269955</v>
      </c>
      <c r="R19" s="37">
        <v>4.9244267038087504</v>
      </c>
      <c r="S19" s="37">
        <v>4.9244274292469798</v>
      </c>
      <c r="T19" s="37">
        <v>4.9244268504783797</v>
      </c>
      <c r="U19" s="37">
        <v>4.9244222861678999</v>
      </c>
      <c r="V19" s="37">
        <v>4.9244352449555304</v>
      </c>
      <c r="Y19" s="25"/>
    </row>
    <row r="20" spans="1:25" x14ac:dyDescent="0.25">
      <c r="A20" s="77"/>
      <c r="B20" s="79"/>
      <c r="C20" s="80" t="s">
        <v>5</v>
      </c>
      <c r="D20" s="21" t="s">
        <v>11</v>
      </c>
      <c r="E20" s="36">
        <v>4.5638270977713304</v>
      </c>
      <c r="F20" s="37">
        <v>4.5639237797188397</v>
      </c>
      <c r="G20" s="37">
        <v>4.5638852581412204</v>
      </c>
      <c r="H20" s="37">
        <v>4.5639300901672701</v>
      </c>
      <c r="I20" s="37">
        <v>4.5639159685879402</v>
      </c>
      <c r="J20" s="37">
        <v>4.5638938722140496</v>
      </c>
      <c r="K20" s="37">
        <v>4.56393198996079</v>
      </c>
      <c r="L20" s="37">
        <v>4.5639954793600301</v>
      </c>
      <c r="M20" s="37">
        <v>4.5639730264870204</v>
      </c>
      <c r="N20" s="37">
        <v>4.5640387508250297</v>
      </c>
      <c r="O20" s="37">
        <v>4.5640240664162501</v>
      </c>
      <c r="P20" s="37">
        <v>4.5640087452900202</v>
      </c>
      <c r="Q20" s="37">
        <v>4.5639028759777096</v>
      </c>
      <c r="R20" s="37">
        <v>4.5640024640094898</v>
      </c>
      <c r="S20" s="37">
        <v>4.56400395563782</v>
      </c>
      <c r="T20" s="37">
        <v>4.5640027655881701</v>
      </c>
      <c r="U20" s="37">
        <v>4.5639933805151802</v>
      </c>
      <c r="V20" s="37">
        <v>4.5640200259614501</v>
      </c>
      <c r="Y20" s="25"/>
    </row>
    <row r="21" spans="1:25" x14ac:dyDescent="0.25">
      <c r="A21" s="77"/>
      <c r="B21" s="79"/>
      <c r="C21" s="80"/>
      <c r="D21" s="21" t="s">
        <v>6</v>
      </c>
      <c r="E21" s="36">
        <v>4.7993093212570503</v>
      </c>
      <c r="F21" s="37">
        <v>4.79936969163571</v>
      </c>
      <c r="G21" s="37">
        <v>4.79934563737236</v>
      </c>
      <c r="H21" s="37">
        <v>4.7993736321738103</v>
      </c>
      <c r="I21" s="37">
        <v>4.7993648140274097</v>
      </c>
      <c r="J21" s="37">
        <v>4.7993510162499096</v>
      </c>
      <c r="K21" s="37">
        <v>4.7993748184970801</v>
      </c>
      <c r="L21" s="37">
        <v>4.7994144653326902</v>
      </c>
      <c r="M21" s="37">
        <v>4.7994004441087599</v>
      </c>
      <c r="N21" s="37">
        <v>4.79944148788229</v>
      </c>
      <c r="O21" s="37">
        <v>4.79943231753355</v>
      </c>
      <c r="P21" s="37">
        <v>4.7994227496653696</v>
      </c>
      <c r="Q21" s="37">
        <v>4.7993566384989403</v>
      </c>
      <c r="R21" s="37">
        <v>4.7994188271093101</v>
      </c>
      <c r="S21" s="37">
        <v>4.7994197586049197</v>
      </c>
      <c r="T21" s="37">
        <v>4.7994190154398</v>
      </c>
      <c r="U21" s="37">
        <v>4.7994131546496996</v>
      </c>
      <c r="V21" s="37">
        <v>4.7994297943050297</v>
      </c>
      <c r="Y21" s="25"/>
    </row>
    <row r="22" spans="1:25" x14ac:dyDescent="0.25">
      <c r="A22" s="78"/>
      <c r="B22" s="79"/>
      <c r="C22" s="80"/>
      <c r="D22" s="21" t="s">
        <v>7</v>
      </c>
      <c r="E22" s="55">
        <v>4.8317705665832502</v>
      </c>
      <c r="F22" s="56">
        <v>4.8318271423004902</v>
      </c>
      <c r="G22" s="56">
        <v>4.8318045999487902</v>
      </c>
      <c r="H22" s="56">
        <v>4.8318308351656896</v>
      </c>
      <c r="I22" s="56">
        <v>4.8318225712648797</v>
      </c>
      <c r="J22" s="56">
        <v>4.8318096407353401</v>
      </c>
      <c r="K22" s="56">
        <v>4.8318319469258704</v>
      </c>
      <c r="L22" s="56">
        <v>4.8318691019637701</v>
      </c>
      <c r="M22" s="56">
        <v>4.8318559619505201</v>
      </c>
      <c r="N22" s="56">
        <v>4.8318944262562704</v>
      </c>
      <c r="O22" s="56">
        <v>4.8318858322169298</v>
      </c>
      <c r="P22" s="56">
        <v>4.83187686565077</v>
      </c>
      <c r="Q22" s="56">
        <v>4.8318149095998297</v>
      </c>
      <c r="R22" s="56">
        <v>4.83187318961469</v>
      </c>
      <c r="S22" s="56">
        <v>4.8318740625686498</v>
      </c>
      <c r="T22" s="56">
        <v>4.8318733661091802</v>
      </c>
      <c r="U22" s="56">
        <v>4.8318678736540503</v>
      </c>
      <c r="V22" s="56">
        <v>4.8318834675621298</v>
      </c>
      <c r="Y22" s="25"/>
    </row>
    <row r="24" spans="1:25" x14ac:dyDescent="0.25">
      <c r="A24" s="11" t="s">
        <v>23</v>
      </c>
      <c r="O24" s="25">
        <f>MIN(O5:O22)</f>
        <v>4.3008616153282304</v>
      </c>
    </row>
    <row r="25" spans="1:25" x14ac:dyDescent="0.25"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</sheetData>
  <mergeCells count="20"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D3150-070B-40F4-AEF4-ED4F5C86E377}">
  <dimension ref="A1:Y25"/>
  <sheetViews>
    <sheetView showGridLines="0" workbookViewId="0">
      <selection activeCell="B4" sqref="B4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16384" width="9.140625" style="11"/>
  </cols>
  <sheetData>
    <row r="1" spans="1:25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5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</row>
    <row r="3" spans="1:25" ht="15.75" x14ac:dyDescent="0.25">
      <c r="B3" s="52" t="s">
        <v>19</v>
      </c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</row>
    <row r="4" spans="1:25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</row>
    <row r="5" spans="1:25" x14ac:dyDescent="0.25">
      <c r="A5" s="76" t="s">
        <v>12</v>
      </c>
      <c r="B5" s="79" t="s">
        <v>1</v>
      </c>
      <c r="C5" s="80" t="s">
        <v>4</v>
      </c>
      <c r="D5" s="19" t="s">
        <v>13</v>
      </c>
      <c r="E5" s="53">
        <v>6.2677445695695297</v>
      </c>
      <c r="F5" s="54">
        <v>6.2677480909218897</v>
      </c>
      <c r="G5" s="54">
        <v>6.2677469033276196</v>
      </c>
      <c r="H5" s="54">
        <v>6.2677482730167497</v>
      </c>
      <c r="I5" s="54">
        <v>6.2677481339441101</v>
      </c>
      <c r="J5" s="54">
        <v>6.2677473401881798</v>
      </c>
      <c r="K5" s="54">
        <v>6.26774769029978</v>
      </c>
      <c r="L5" s="54">
        <v>6.2677504188726996</v>
      </c>
      <c r="M5" s="54">
        <v>6.2677497825197497</v>
      </c>
      <c r="N5" s="54">
        <v>6.2677519980745897</v>
      </c>
      <c r="O5" s="54">
        <v>6.26775154370804</v>
      </c>
      <c r="P5" s="54">
        <v>6.2677512410279403</v>
      </c>
      <c r="Q5" s="54">
        <v>6.2677472616435903</v>
      </c>
      <c r="R5" s="54">
        <v>6.2677508233544499</v>
      </c>
      <c r="S5" s="54">
        <v>6.2677511160335602</v>
      </c>
      <c r="T5" s="54">
        <v>6.2677511331774403</v>
      </c>
      <c r="U5" s="54">
        <v>6.2677509793907804</v>
      </c>
      <c r="V5" s="54">
        <v>6.26775187019601</v>
      </c>
      <c r="Y5" s="25"/>
    </row>
    <row r="6" spans="1:25" x14ac:dyDescent="0.25">
      <c r="A6" s="77"/>
      <c r="B6" s="79"/>
      <c r="C6" s="80"/>
      <c r="D6" s="19" t="s">
        <v>14</v>
      </c>
      <c r="E6" s="36">
        <v>5.0926828816463097</v>
      </c>
      <c r="F6" s="37">
        <v>5.0927198083542304</v>
      </c>
      <c r="G6" s="37">
        <v>5.0927073549069801</v>
      </c>
      <c r="H6" s="37">
        <v>5.0927217178272199</v>
      </c>
      <c r="I6" s="37">
        <v>5.09272025949197</v>
      </c>
      <c r="J6" s="37">
        <v>5.09271193598215</v>
      </c>
      <c r="K6" s="37">
        <v>5.0927156073494899</v>
      </c>
      <c r="L6" s="37">
        <v>5.0927442190864198</v>
      </c>
      <c r="M6" s="37">
        <v>5.0927375464401496</v>
      </c>
      <c r="N6" s="37">
        <v>5.0927607778752302</v>
      </c>
      <c r="O6" s="37">
        <v>5.0927560136462597</v>
      </c>
      <c r="P6" s="37">
        <v>5.0927528398921904</v>
      </c>
      <c r="Q6" s="37">
        <v>5.0927111123384403</v>
      </c>
      <c r="R6" s="37">
        <v>5.0927484603443602</v>
      </c>
      <c r="S6" s="37">
        <v>5.0927515292575896</v>
      </c>
      <c r="T6" s="37">
        <v>5.0927517090206997</v>
      </c>
      <c r="U6" s="37">
        <v>5.0927500964794499</v>
      </c>
      <c r="V6" s="37">
        <v>5.0927594370173903</v>
      </c>
      <c r="Y6" s="25"/>
    </row>
    <row r="7" spans="1:25" x14ac:dyDescent="0.25">
      <c r="A7" s="77"/>
      <c r="B7" s="79"/>
      <c r="C7" s="80"/>
      <c r="D7" s="19" t="s">
        <v>15</v>
      </c>
      <c r="E7" s="36">
        <v>5.9561874082712096</v>
      </c>
      <c r="F7" s="37">
        <v>5.9561939746098203</v>
      </c>
      <c r="G7" s="37">
        <v>5.9561917600826799</v>
      </c>
      <c r="H7" s="37">
        <v>5.9561943141647804</v>
      </c>
      <c r="I7" s="37">
        <v>5.9561940548339898</v>
      </c>
      <c r="J7" s="37">
        <v>5.9561925747044899</v>
      </c>
      <c r="K7" s="37">
        <v>5.9561932275634897</v>
      </c>
      <c r="L7" s="37">
        <v>5.9561983155659002</v>
      </c>
      <c r="M7" s="37">
        <v>5.9561971289531197</v>
      </c>
      <c r="N7" s="37">
        <v>5.9562012603114898</v>
      </c>
      <c r="O7" s="37">
        <v>5.9562004130527697</v>
      </c>
      <c r="P7" s="37">
        <v>5.9561998486438599</v>
      </c>
      <c r="Q7" s="37">
        <v>5.9561924282410104</v>
      </c>
      <c r="R7" s="37">
        <v>5.9561990698057903</v>
      </c>
      <c r="S7" s="37">
        <v>5.9561996155662102</v>
      </c>
      <c r="T7" s="37">
        <v>5.9561996475344801</v>
      </c>
      <c r="U7" s="37">
        <v>5.95619936076766</v>
      </c>
      <c r="V7" s="37">
        <v>5.9562010218559696</v>
      </c>
      <c r="Y7" s="25"/>
    </row>
    <row r="8" spans="1:25" x14ac:dyDescent="0.25">
      <c r="A8" s="77"/>
      <c r="B8" s="79"/>
      <c r="C8" s="80" t="s">
        <v>5</v>
      </c>
      <c r="D8" s="21" t="s">
        <v>11</v>
      </c>
      <c r="E8" s="36">
        <v>5.2093121144428798</v>
      </c>
      <c r="F8" s="37">
        <v>5.2093413587316197</v>
      </c>
      <c r="G8" s="37">
        <v>5.2093314961123403</v>
      </c>
      <c r="H8" s="37">
        <v>5.2093428709604099</v>
      </c>
      <c r="I8" s="37">
        <v>5.2093417160151603</v>
      </c>
      <c r="J8" s="37">
        <v>5.2093351241299901</v>
      </c>
      <c r="K8" s="37">
        <v>5.2093380317025204</v>
      </c>
      <c r="L8" s="37">
        <v>5.2093606911782597</v>
      </c>
      <c r="M8" s="37">
        <v>5.20935540665615</v>
      </c>
      <c r="N8" s="37">
        <v>5.2093738052719596</v>
      </c>
      <c r="O8" s="37">
        <v>5.2093700321277403</v>
      </c>
      <c r="P8" s="37">
        <v>5.2093675186020096</v>
      </c>
      <c r="Q8" s="37">
        <v>5.2093344718385097</v>
      </c>
      <c r="R8" s="37">
        <v>5.2093640501263199</v>
      </c>
      <c r="S8" s="37">
        <v>5.2093664806165103</v>
      </c>
      <c r="T8" s="37">
        <v>5.2093666229837696</v>
      </c>
      <c r="U8" s="37">
        <v>5.2093653458974298</v>
      </c>
      <c r="V8" s="37">
        <v>5.2093727433470098</v>
      </c>
      <c r="Y8" s="25"/>
    </row>
    <row r="9" spans="1:25" x14ac:dyDescent="0.25">
      <c r="A9" s="77"/>
      <c r="B9" s="79"/>
      <c r="C9" s="80"/>
      <c r="D9" s="21" t="s">
        <v>6</v>
      </c>
      <c r="E9" s="36">
        <v>5.3886477191011002</v>
      </c>
      <c r="F9" s="37">
        <v>5.3886681494584998</v>
      </c>
      <c r="G9" s="37">
        <v>5.3886612592921601</v>
      </c>
      <c r="H9" s="37">
        <v>5.3886692059266901</v>
      </c>
      <c r="I9" s="37">
        <v>5.3886683990626398</v>
      </c>
      <c r="J9" s="37">
        <v>5.38866379387221</v>
      </c>
      <c r="K9" s="37">
        <v>5.3886658251439901</v>
      </c>
      <c r="L9" s="37">
        <v>5.3886816554999699</v>
      </c>
      <c r="M9" s="37">
        <v>5.38867796360943</v>
      </c>
      <c r="N9" s="37">
        <v>5.3886908173628703</v>
      </c>
      <c r="O9" s="37">
        <v>5.38868818133417</v>
      </c>
      <c r="P9" s="37">
        <v>5.3886864253150497</v>
      </c>
      <c r="Q9" s="37">
        <v>5.38866333817254</v>
      </c>
      <c r="R9" s="37">
        <v>5.3886840021456397</v>
      </c>
      <c r="S9" s="37">
        <v>5.38868570015023</v>
      </c>
      <c r="T9" s="37">
        <v>5.3886857996118298</v>
      </c>
      <c r="U9" s="37">
        <v>5.3886849074052199</v>
      </c>
      <c r="V9" s="37">
        <v>5.3886900754704898</v>
      </c>
      <c r="Y9" s="25"/>
    </row>
    <row r="10" spans="1:25" x14ac:dyDescent="0.25">
      <c r="A10" s="77"/>
      <c r="B10" s="79"/>
      <c r="C10" s="80"/>
      <c r="D10" s="21" t="s">
        <v>7</v>
      </c>
      <c r="E10" s="36">
        <v>5.8081620825437001</v>
      </c>
      <c r="F10" s="37">
        <v>5.8081709112172</v>
      </c>
      <c r="G10" s="37">
        <v>5.8081679337119398</v>
      </c>
      <c r="H10" s="37">
        <v>5.8081713677597104</v>
      </c>
      <c r="I10" s="37">
        <v>5.8081710190811702</v>
      </c>
      <c r="J10" s="37">
        <v>5.8081690289985302</v>
      </c>
      <c r="K10" s="37">
        <v>5.8081699067891099</v>
      </c>
      <c r="L10" s="37">
        <v>5.8081767477635804</v>
      </c>
      <c r="M10" s="37">
        <v>5.8081751523286398</v>
      </c>
      <c r="N10" s="37">
        <v>5.8081807070529203</v>
      </c>
      <c r="O10" s="37">
        <v>5.8081795678916901</v>
      </c>
      <c r="P10" s="37">
        <v>5.8081788090289699</v>
      </c>
      <c r="Q10" s="37">
        <v>5.8081688320734699</v>
      </c>
      <c r="R10" s="37">
        <v>5.8081777618600903</v>
      </c>
      <c r="S10" s="37">
        <v>5.8081784956498197</v>
      </c>
      <c r="T10" s="37">
        <v>5.8081785386320197</v>
      </c>
      <c r="U10" s="37">
        <v>5.8081781530662697</v>
      </c>
      <c r="V10" s="37">
        <v>5.8081803864433796</v>
      </c>
      <c r="Y10" s="25"/>
    </row>
    <row r="11" spans="1:25" x14ac:dyDescent="0.25">
      <c r="A11" s="77"/>
      <c r="B11" s="79" t="s">
        <v>2</v>
      </c>
      <c r="C11" s="80" t="s">
        <v>4</v>
      </c>
      <c r="D11" s="21" t="s">
        <v>11</v>
      </c>
      <c r="E11" s="36">
        <v>5.3964434172414304</v>
      </c>
      <c r="F11" s="37">
        <v>5.3964635315377603</v>
      </c>
      <c r="G11" s="37">
        <v>5.3964567479620298</v>
      </c>
      <c r="H11" s="37">
        <v>5.3964645716625599</v>
      </c>
      <c r="I11" s="37">
        <v>5.3964637772805597</v>
      </c>
      <c r="J11" s="37">
        <v>5.3964592433320604</v>
      </c>
      <c r="K11" s="37">
        <v>5.3964612431801502</v>
      </c>
      <c r="L11" s="37">
        <v>5.3964768286454801</v>
      </c>
      <c r="M11" s="37">
        <v>5.3964731938666404</v>
      </c>
      <c r="N11" s="37">
        <v>5.3964858487807099</v>
      </c>
      <c r="O11" s="37">
        <v>5.3964832535292802</v>
      </c>
      <c r="P11" s="37">
        <v>5.3964815246744999</v>
      </c>
      <c r="Q11" s="37">
        <v>5.3964587946820597</v>
      </c>
      <c r="R11" s="37">
        <v>5.3964791389899203</v>
      </c>
      <c r="S11" s="37">
        <v>5.3964808107274802</v>
      </c>
      <c r="T11" s="37">
        <v>5.3964809086504797</v>
      </c>
      <c r="U11" s="37">
        <v>5.3964800302457103</v>
      </c>
      <c r="V11" s="37">
        <v>5.3964851183647902</v>
      </c>
      <c r="Y11" s="25"/>
    </row>
    <row r="12" spans="1:25" x14ac:dyDescent="0.25">
      <c r="A12" s="77"/>
      <c r="B12" s="79"/>
      <c r="C12" s="80"/>
      <c r="D12" s="21" t="s">
        <v>6</v>
      </c>
      <c r="E12" s="36">
        <v>4.5575940805016302</v>
      </c>
      <c r="F12" s="37">
        <v>4.5577017473735904</v>
      </c>
      <c r="G12" s="37">
        <v>4.5576654386711599</v>
      </c>
      <c r="H12" s="37">
        <v>4.55770731439274</v>
      </c>
      <c r="I12" s="37">
        <v>4.5577030626576898</v>
      </c>
      <c r="J12" s="37">
        <v>4.5576787952462698</v>
      </c>
      <c r="K12" s="37">
        <v>4.5576894993095403</v>
      </c>
      <c r="L12" s="37">
        <v>4.5577729131650404</v>
      </c>
      <c r="M12" s="37">
        <v>4.5577534607366399</v>
      </c>
      <c r="N12" s="37">
        <v>4.5578211840173202</v>
      </c>
      <c r="O12" s="37">
        <v>4.5578072960330704</v>
      </c>
      <c r="P12" s="37">
        <v>4.5577980442282504</v>
      </c>
      <c r="Q12" s="37">
        <v>4.5576763938493201</v>
      </c>
      <c r="R12" s="37">
        <v>4.5577852772314902</v>
      </c>
      <c r="S12" s="37">
        <v>4.5577942235668401</v>
      </c>
      <c r="T12" s="37">
        <v>4.5577947475996003</v>
      </c>
      <c r="U12" s="37">
        <v>4.5577900468200196</v>
      </c>
      <c r="V12" s="37">
        <v>4.5578172753700601</v>
      </c>
      <c r="Y12" s="25"/>
    </row>
    <row r="13" spans="1:25" x14ac:dyDescent="0.25">
      <c r="A13" s="77"/>
      <c r="B13" s="79"/>
      <c r="C13" s="80"/>
      <c r="D13" s="21" t="s">
        <v>7</v>
      </c>
      <c r="E13" s="36">
        <v>5.1529464134725602</v>
      </c>
      <c r="F13" s="37">
        <v>5.1529791474043698</v>
      </c>
      <c r="G13" s="37">
        <v>5.1529681079305396</v>
      </c>
      <c r="H13" s="37">
        <v>5.1529808400771797</v>
      </c>
      <c r="I13" s="37">
        <v>5.1529795473202</v>
      </c>
      <c r="J13" s="37">
        <v>5.1529721688634904</v>
      </c>
      <c r="K13" s="37">
        <v>5.1529754233812701</v>
      </c>
      <c r="L13" s="37">
        <v>5.1530007866149399</v>
      </c>
      <c r="M13" s="37">
        <v>5.1529948715490796</v>
      </c>
      <c r="N13" s="37">
        <v>5.1530154654366003</v>
      </c>
      <c r="O13" s="37">
        <v>5.1530112420986596</v>
      </c>
      <c r="P13" s="37">
        <v>5.15300842866883</v>
      </c>
      <c r="Q13" s="37">
        <v>5.1529714387372199</v>
      </c>
      <c r="R13" s="37">
        <v>5.1530045463453504</v>
      </c>
      <c r="S13" s="37">
        <v>5.1530072668344502</v>
      </c>
      <c r="T13" s="37">
        <v>5.1530074261885002</v>
      </c>
      <c r="U13" s="37">
        <v>5.1530059967242403</v>
      </c>
      <c r="V13" s="37">
        <v>5.1530142768081699</v>
      </c>
      <c r="Y13" s="25"/>
    </row>
    <row r="14" spans="1:25" x14ac:dyDescent="0.25">
      <c r="A14" s="77"/>
      <c r="B14" s="79"/>
      <c r="C14" s="80" t="s">
        <v>5</v>
      </c>
      <c r="D14" s="21" t="s">
        <v>11</v>
      </c>
      <c r="E14" s="36">
        <v>4.26568070176201</v>
      </c>
      <c r="F14" s="37">
        <v>4.2658737197416698</v>
      </c>
      <c r="G14" s="37">
        <v>4.2658086316061103</v>
      </c>
      <c r="H14" s="37">
        <v>4.2658836990261397</v>
      </c>
      <c r="I14" s="37">
        <v>4.2658760774914999</v>
      </c>
      <c r="J14" s="37">
        <v>4.2658325754633504</v>
      </c>
      <c r="K14" s="37">
        <v>4.2658517638909697</v>
      </c>
      <c r="L14" s="37">
        <v>4.26600128293832</v>
      </c>
      <c r="M14" s="37">
        <v>4.2659664162951101</v>
      </c>
      <c r="N14" s="37">
        <v>4.2660877992456498</v>
      </c>
      <c r="O14" s="37">
        <v>4.2660629083575596</v>
      </c>
      <c r="P14" s="37">
        <v>4.2660463264075599</v>
      </c>
      <c r="Q14" s="37">
        <v>4.2658282706018102</v>
      </c>
      <c r="R14" s="37">
        <v>4.2660234438025899</v>
      </c>
      <c r="S14" s="37">
        <v>4.2660394785899003</v>
      </c>
      <c r="T14" s="37">
        <v>4.2660404178225999</v>
      </c>
      <c r="U14" s="37">
        <v>4.2660319925085899</v>
      </c>
      <c r="V14" s="37">
        <v>4.2660807939862302</v>
      </c>
      <c r="Y14" s="25"/>
    </row>
    <row r="15" spans="1:25" x14ac:dyDescent="0.25">
      <c r="A15" s="77"/>
      <c r="B15" s="79"/>
      <c r="C15" s="80"/>
      <c r="D15" s="21" t="s">
        <v>6</v>
      </c>
      <c r="E15" s="36">
        <v>4.63422658134537</v>
      </c>
      <c r="F15" s="37">
        <v>4.6343189504205</v>
      </c>
      <c r="G15" s="37">
        <v>4.6342878003071499</v>
      </c>
      <c r="H15" s="37">
        <v>4.6343237265291997</v>
      </c>
      <c r="I15" s="37">
        <v>4.6343200788405596</v>
      </c>
      <c r="J15" s="37">
        <v>4.6342992591983796</v>
      </c>
      <c r="K15" s="37">
        <v>4.6343084424744099</v>
      </c>
      <c r="L15" s="37">
        <v>4.6343800062052303</v>
      </c>
      <c r="M15" s="37">
        <v>4.6343633171193401</v>
      </c>
      <c r="N15" s="37">
        <v>4.6344214202710301</v>
      </c>
      <c r="O15" s="37">
        <v>4.6344095049914102</v>
      </c>
      <c r="P15" s="37">
        <v>4.6344015673758996</v>
      </c>
      <c r="Q15" s="37">
        <v>4.6342971989854096</v>
      </c>
      <c r="R15" s="37">
        <v>4.6343906139245004</v>
      </c>
      <c r="S15" s="37">
        <v>4.6343982894333298</v>
      </c>
      <c r="T15" s="37">
        <v>4.6343987390278603</v>
      </c>
      <c r="U15" s="37">
        <v>4.6343947059907702</v>
      </c>
      <c r="V15" s="37">
        <v>4.6344180668188502</v>
      </c>
      <c r="Y15" s="25"/>
    </row>
    <row r="16" spans="1:25" x14ac:dyDescent="0.25">
      <c r="A16" s="77"/>
      <c r="B16" s="79"/>
      <c r="C16" s="80"/>
      <c r="D16" s="21" t="s">
        <v>7</v>
      </c>
      <c r="E16" s="36">
        <v>4.9502000276748301</v>
      </c>
      <c r="F16" s="37">
        <v>4.9502491291271902</v>
      </c>
      <c r="G16" s="37">
        <v>4.9502325699090104</v>
      </c>
      <c r="H16" s="37">
        <v>4.9502516681213704</v>
      </c>
      <c r="I16" s="37">
        <v>4.9502497289977603</v>
      </c>
      <c r="J16" s="37">
        <v>4.9502386613324303</v>
      </c>
      <c r="K16" s="37">
        <v>4.9502435431104601</v>
      </c>
      <c r="L16" s="37">
        <v>4.9502815874272503</v>
      </c>
      <c r="M16" s="37">
        <v>4.9502727150392101</v>
      </c>
      <c r="N16" s="37">
        <v>4.9503036049100704</v>
      </c>
      <c r="O16" s="37">
        <v>4.9502972701519603</v>
      </c>
      <c r="P16" s="37">
        <v>4.9502930501581197</v>
      </c>
      <c r="Q16" s="37">
        <v>4.9502375661405296</v>
      </c>
      <c r="R16" s="37">
        <v>4.95028722686164</v>
      </c>
      <c r="S16" s="37">
        <v>4.9502913074653998</v>
      </c>
      <c r="T16" s="37">
        <v>4.9502915464885202</v>
      </c>
      <c r="U16" s="37">
        <v>4.9502894023620998</v>
      </c>
      <c r="V16" s="37">
        <v>4.9503018220401502</v>
      </c>
      <c r="Y16" s="25"/>
    </row>
    <row r="17" spans="1:25" x14ac:dyDescent="0.25">
      <c r="A17" s="77"/>
      <c r="B17" s="79" t="s">
        <v>3</v>
      </c>
      <c r="C17" s="80" t="s">
        <v>4</v>
      </c>
      <c r="D17" s="21" t="s">
        <v>11</v>
      </c>
      <c r="E17" s="36">
        <v>5.5280204637174997</v>
      </c>
      <c r="F17" s="37">
        <v>5.52803592410927</v>
      </c>
      <c r="G17" s="37">
        <v>5.5280307100535504</v>
      </c>
      <c r="H17" s="37">
        <v>5.5280367235812102</v>
      </c>
      <c r="I17" s="37">
        <v>5.5280361129947204</v>
      </c>
      <c r="J17" s="37">
        <v>5.52803262806641</v>
      </c>
      <c r="K17" s="37">
        <v>5.5280341652085099</v>
      </c>
      <c r="L17" s="37">
        <v>5.5280461447046401</v>
      </c>
      <c r="M17" s="37">
        <v>5.5280433508875504</v>
      </c>
      <c r="N17" s="37">
        <v>5.52805307791375</v>
      </c>
      <c r="O17" s="37">
        <v>5.5280510831046703</v>
      </c>
      <c r="P17" s="37">
        <v>5.5280497542423896</v>
      </c>
      <c r="Q17" s="37">
        <v>5.5280322832210098</v>
      </c>
      <c r="R17" s="37">
        <v>5.5280479205179498</v>
      </c>
      <c r="S17" s="37">
        <v>5.5280492054763801</v>
      </c>
      <c r="T17" s="37">
        <v>5.5280492807436001</v>
      </c>
      <c r="U17" s="37">
        <v>5.5280486055695199</v>
      </c>
      <c r="V17" s="37">
        <v>5.5280525164880201</v>
      </c>
      <c r="Y17" s="25"/>
    </row>
    <row r="18" spans="1:25" x14ac:dyDescent="0.25">
      <c r="A18" s="77"/>
      <c r="B18" s="79"/>
      <c r="C18" s="80"/>
      <c r="D18" s="21" t="s">
        <v>6</v>
      </c>
      <c r="E18" s="36">
        <v>4.3989514026848804</v>
      </c>
      <c r="F18" s="37">
        <v>4.3990992658223202</v>
      </c>
      <c r="G18" s="37">
        <v>4.3990494029858196</v>
      </c>
      <c r="H18" s="37">
        <v>4.39910691090485</v>
      </c>
      <c r="I18" s="37">
        <v>4.3991010720800698</v>
      </c>
      <c r="J18" s="37">
        <v>4.3990677457627001</v>
      </c>
      <c r="K18" s="37">
        <v>4.3990824456748401</v>
      </c>
      <c r="L18" s="37">
        <v>4.3991969940701798</v>
      </c>
      <c r="M18" s="37">
        <v>4.3991702815863896</v>
      </c>
      <c r="N18" s="37">
        <v>4.3992632789444102</v>
      </c>
      <c r="O18" s="37">
        <v>4.3992442083990602</v>
      </c>
      <c r="P18" s="37">
        <v>4.3992315040005003</v>
      </c>
      <c r="Q18" s="37">
        <v>4.3990644479031804</v>
      </c>
      <c r="R18" s="37">
        <v>4.3992139724646497</v>
      </c>
      <c r="S18" s="37">
        <v>4.3992262575169301</v>
      </c>
      <c r="T18" s="37">
        <v>4.39922697711292</v>
      </c>
      <c r="U18" s="37">
        <v>4.3992205220442804</v>
      </c>
      <c r="V18" s="37">
        <v>4.3992579117322901</v>
      </c>
      <c r="Y18" s="25"/>
    </row>
    <row r="19" spans="1:25" x14ac:dyDescent="0.25">
      <c r="A19" s="77"/>
      <c r="B19" s="79"/>
      <c r="C19" s="80"/>
      <c r="D19" s="21" t="s">
        <v>7</v>
      </c>
      <c r="E19" s="36">
        <v>4.82065035791413</v>
      </c>
      <c r="F19" s="37">
        <v>4.8207139808117896</v>
      </c>
      <c r="G19" s="37">
        <v>4.8206925245156302</v>
      </c>
      <c r="H19" s="37">
        <v>4.8207172706472798</v>
      </c>
      <c r="I19" s="37">
        <v>4.8207147580788803</v>
      </c>
      <c r="J19" s="37">
        <v>4.82070041738762</v>
      </c>
      <c r="K19" s="37">
        <v>4.8207067428589401</v>
      </c>
      <c r="L19" s="37">
        <v>4.82075603743528</v>
      </c>
      <c r="M19" s="37">
        <v>4.82074454145181</v>
      </c>
      <c r="N19" s="37">
        <v>4.82078456530233</v>
      </c>
      <c r="O19" s="37">
        <v>4.8207763574476701</v>
      </c>
      <c r="P19" s="37">
        <v>4.8207708896454804</v>
      </c>
      <c r="Q19" s="37">
        <v>4.8206989983109896</v>
      </c>
      <c r="R19" s="37">
        <v>4.8207633444383102</v>
      </c>
      <c r="S19" s="37">
        <v>4.8207686316526397</v>
      </c>
      <c r="T19" s="37">
        <v>4.8207689413530996</v>
      </c>
      <c r="U19" s="37">
        <v>4.8207661632230696</v>
      </c>
      <c r="V19" s="37">
        <v>4.8207822552666197</v>
      </c>
      <c r="Y19" s="25"/>
    </row>
    <row r="20" spans="1:25" x14ac:dyDescent="0.25">
      <c r="A20" s="77"/>
      <c r="B20" s="79"/>
      <c r="C20" s="80" t="s">
        <v>5</v>
      </c>
      <c r="D20" s="21" t="s">
        <v>11</v>
      </c>
      <c r="E20" s="36">
        <v>4.3792333219493003</v>
      </c>
      <c r="F20" s="37">
        <v>4.3793871318322299</v>
      </c>
      <c r="G20" s="37">
        <v>4.3793352638213801</v>
      </c>
      <c r="H20" s="37">
        <v>4.3793950843342202</v>
      </c>
      <c r="I20" s="37">
        <v>4.3793890107225701</v>
      </c>
      <c r="J20" s="37">
        <v>4.3793543442552796</v>
      </c>
      <c r="K20" s="37">
        <v>4.3793696353058804</v>
      </c>
      <c r="L20" s="37">
        <v>4.3794887895014103</v>
      </c>
      <c r="M20" s="37">
        <v>4.3794610030512704</v>
      </c>
      <c r="N20" s="37">
        <v>4.3795577390787503</v>
      </c>
      <c r="O20" s="37">
        <v>4.3795379019204104</v>
      </c>
      <c r="P20" s="37">
        <v>4.3795246868034301</v>
      </c>
      <c r="Q20" s="37">
        <v>4.3793509137740099</v>
      </c>
      <c r="R20" s="37">
        <v>4.3795064504754597</v>
      </c>
      <c r="S20" s="37">
        <v>4.3795192294066201</v>
      </c>
      <c r="T20" s="37">
        <v>4.37951997793113</v>
      </c>
      <c r="U20" s="37">
        <v>4.3795132633603</v>
      </c>
      <c r="V20" s="37">
        <v>4.3795521561142401</v>
      </c>
      <c r="Y20" s="25"/>
    </row>
    <row r="21" spans="1:25" x14ac:dyDescent="0.25">
      <c r="A21" s="77"/>
      <c r="B21" s="79"/>
      <c r="C21" s="80"/>
      <c r="D21" s="21" t="s">
        <v>6</v>
      </c>
      <c r="E21" s="36">
        <v>4.5901129898699198</v>
      </c>
      <c r="F21" s="37">
        <v>4.5902138778609398</v>
      </c>
      <c r="G21" s="37">
        <v>4.5901798550604704</v>
      </c>
      <c r="H21" s="37">
        <v>4.5902190944087202</v>
      </c>
      <c r="I21" s="37">
        <v>4.59021511034108</v>
      </c>
      <c r="J21" s="37">
        <v>4.5901923707220798</v>
      </c>
      <c r="K21" s="37">
        <v>4.5902024008859303</v>
      </c>
      <c r="L21" s="37">
        <v>4.5902805636895003</v>
      </c>
      <c r="M21" s="37">
        <v>4.5902623357529899</v>
      </c>
      <c r="N21" s="37">
        <v>4.5903257961799202</v>
      </c>
      <c r="O21" s="37">
        <v>4.5903127823331697</v>
      </c>
      <c r="P21" s="37">
        <v>4.5903041128680702</v>
      </c>
      <c r="Q21" s="37">
        <v>4.5901901205125704</v>
      </c>
      <c r="R21" s="37">
        <v>4.5902921494856201</v>
      </c>
      <c r="S21" s="37">
        <v>4.59030053269489</v>
      </c>
      <c r="T21" s="37">
        <v>4.5903010237427599</v>
      </c>
      <c r="U21" s="37">
        <v>4.5902966188517604</v>
      </c>
      <c r="V21" s="37">
        <v>4.5903221335484297</v>
      </c>
      <c r="Y21" s="25"/>
    </row>
    <row r="22" spans="1:25" x14ac:dyDescent="0.25">
      <c r="A22" s="78"/>
      <c r="B22" s="79"/>
      <c r="C22" s="80"/>
      <c r="D22" s="21" t="s">
        <v>7</v>
      </c>
      <c r="E22" s="55">
        <v>4.6262852609522103</v>
      </c>
      <c r="F22" s="56">
        <v>4.6263791086657697</v>
      </c>
      <c r="G22" s="56">
        <v>4.6263474599343404</v>
      </c>
      <c r="H22" s="56">
        <v>4.6263839612225599</v>
      </c>
      <c r="I22" s="56">
        <v>4.6263802551477804</v>
      </c>
      <c r="J22" s="56">
        <v>4.62635910225106</v>
      </c>
      <c r="K22" s="56">
        <v>4.6263684325231198</v>
      </c>
      <c r="L22" s="56">
        <v>4.6264411416753601</v>
      </c>
      <c r="M22" s="56">
        <v>4.6264241854853001</v>
      </c>
      <c r="N22" s="56">
        <v>4.6264832185226199</v>
      </c>
      <c r="O22" s="56">
        <v>4.6264711125592397</v>
      </c>
      <c r="P22" s="56">
        <v>4.6264630479131501</v>
      </c>
      <c r="Q22" s="56">
        <v>4.6263570090600297</v>
      </c>
      <c r="R22" s="56">
        <v>4.6264519191635101</v>
      </c>
      <c r="S22" s="56">
        <v>4.6264597175110298</v>
      </c>
      <c r="T22" s="56">
        <v>4.6264601743008003</v>
      </c>
      <c r="U22" s="56">
        <v>4.6264560767193696</v>
      </c>
      <c r="V22" s="56">
        <v>4.62647981140461</v>
      </c>
      <c r="Y22" s="25"/>
    </row>
    <row r="24" spans="1:25" x14ac:dyDescent="0.25">
      <c r="A24" s="11" t="s">
        <v>23</v>
      </c>
    </row>
    <row r="25" spans="1:25" x14ac:dyDescent="0.25"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</sheetData>
  <mergeCells count="20"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2B1E-D738-454C-ADC2-840B27218369}">
  <dimension ref="A1:X24"/>
  <sheetViews>
    <sheetView showGridLines="0" workbookViewId="0">
      <selection sqref="A1:V22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22" width="9.140625" style="11"/>
    <col min="23" max="23" width="1.7109375" style="11" customWidth="1"/>
    <col min="24" max="24" width="14.85546875" style="50" customWidth="1"/>
    <col min="25" max="16384" width="9.140625" style="11"/>
  </cols>
  <sheetData>
    <row r="1" spans="1:24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4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  <c r="X2" s="81"/>
    </row>
    <row r="3" spans="1:24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  <c r="X3" s="81"/>
    </row>
    <row r="4" spans="1:24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  <c r="X4" s="81"/>
    </row>
    <row r="5" spans="1:24" x14ac:dyDescent="0.25">
      <c r="A5" s="76" t="s">
        <v>12</v>
      </c>
      <c r="B5" s="79" t="s">
        <v>1</v>
      </c>
      <c r="C5" s="80" t="s">
        <v>4</v>
      </c>
      <c r="D5" s="19" t="s">
        <v>13</v>
      </c>
      <c r="E5" s="57">
        <v>-2.9060728724928701E-2</v>
      </c>
      <c r="F5" s="57">
        <v>-2.9060856765063599E-2</v>
      </c>
      <c r="G5" s="57">
        <v>-2.9061021264739799E-2</v>
      </c>
      <c r="H5" s="57">
        <v>-2.90608173557949E-2</v>
      </c>
      <c r="I5" s="57">
        <v>-2.9061173963372201E-2</v>
      </c>
      <c r="J5" s="57">
        <v>-2.9061155783066901E-2</v>
      </c>
      <c r="K5" s="57">
        <v>-2.9060167953320899E-2</v>
      </c>
      <c r="L5" s="57">
        <v>-2.90606678157861E-2</v>
      </c>
      <c r="M5" s="57">
        <v>-2.9060819672122502E-2</v>
      </c>
      <c r="N5" s="57">
        <v>-2.9060727874281201E-2</v>
      </c>
      <c r="O5" s="57">
        <v>-2.9060789051592401E-2</v>
      </c>
      <c r="P5" s="57">
        <v>-2.9061024253804701E-2</v>
      </c>
      <c r="Q5" s="57">
        <v>-2.90607612132581E-2</v>
      </c>
      <c r="R5" s="57">
        <v>-2.9060827094086899E-2</v>
      </c>
      <c r="S5" s="57">
        <v>-2.9061067407592799E-2</v>
      </c>
      <c r="T5" s="57">
        <v>-2.9061126329763098E-2</v>
      </c>
      <c r="U5" s="57">
        <v>-2.9061302015371399E-2</v>
      </c>
      <c r="V5" s="57">
        <v>-2.9061257390282001E-2</v>
      </c>
      <c r="X5" s="58"/>
    </row>
    <row r="6" spans="1:24" x14ac:dyDescent="0.25">
      <c r="A6" s="77"/>
      <c r="B6" s="79"/>
      <c r="C6" s="80"/>
      <c r="D6" s="19" t="s">
        <v>14</v>
      </c>
      <c r="E6" s="58">
        <v>5.4446403090567599E-2</v>
      </c>
      <c r="F6" s="58">
        <v>5.4439587332806703E-2</v>
      </c>
      <c r="G6" s="58">
        <v>5.4440043010207398E-2</v>
      </c>
      <c r="H6" s="58">
        <v>5.4439643346424503E-2</v>
      </c>
      <c r="I6" s="58">
        <v>5.4436703321378802E-2</v>
      </c>
      <c r="J6" s="58">
        <v>5.4438144782969801E-2</v>
      </c>
      <c r="K6" s="58">
        <v>5.4446345547523499E-2</v>
      </c>
      <c r="L6" s="58">
        <v>5.44375095665224E-2</v>
      </c>
      <c r="M6" s="58">
        <v>5.4437188366778202E-2</v>
      </c>
      <c r="N6" s="58">
        <v>5.44344300174524E-2</v>
      </c>
      <c r="O6" s="58">
        <v>5.4434619902516503E-2</v>
      </c>
      <c r="P6" s="58">
        <v>5.4433021067262097E-2</v>
      </c>
      <c r="Q6" s="58">
        <v>5.4441772677618502E-2</v>
      </c>
      <c r="R6" s="58">
        <v>5.4435444001324398E-2</v>
      </c>
      <c r="S6" s="58">
        <v>5.4432839727573103E-2</v>
      </c>
      <c r="T6" s="58">
        <v>5.4432289266113501E-2</v>
      </c>
      <c r="U6" s="58">
        <v>5.4430978395090299E-2</v>
      </c>
      <c r="V6" s="58">
        <v>5.4429937904517403E-2</v>
      </c>
      <c r="X6" s="58"/>
    </row>
    <row r="7" spans="1:24" x14ac:dyDescent="0.25">
      <c r="A7" s="77"/>
      <c r="B7" s="79"/>
      <c r="C7" s="80"/>
      <c r="D7" s="19" t="s">
        <v>15</v>
      </c>
      <c r="E7" s="58">
        <v>9.0327667611012092E-3</v>
      </c>
      <c r="F7" s="58">
        <v>9.0320638326026898E-3</v>
      </c>
      <c r="G7" s="58">
        <v>9.0319420378808194E-3</v>
      </c>
      <c r="H7" s="58">
        <v>9.0321070205279207E-3</v>
      </c>
      <c r="I7" s="58">
        <v>9.0315098520807897E-3</v>
      </c>
      <c r="J7" s="58">
        <v>9.0316498422753407E-3</v>
      </c>
      <c r="K7" s="58">
        <v>9.0333088494523005E-3</v>
      </c>
      <c r="L7" s="58">
        <v>9.0320718880283497E-3</v>
      </c>
      <c r="M7" s="58">
        <v>9.0318965369480305E-3</v>
      </c>
      <c r="N7" s="58">
        <v>9.0317520987168703E-3</v>
      </c>
      <c r="O7" s="58">
        <v>9.0317085402213896E-3</v>
      </c>
      <c r="P7" s="58">
        <v>9.0313435321833797E-3</v>
      </c>
      <c r="Q7" s="58">
        <v>9.0323423749527603E-3</v>
      </c>
      <c r="R7" s="58">
        <v>9.0317413401539409E-3</v>
      </c>
      <c r="S7" s="58">
        <v>9.0312860633119402E-3</v>
      </c>
      <c r="T7" s="58">
        <v>9.0311819054900207E-3</v>
      </c>
      <c r="U7" s="58">
        <v>9.0308993704661892E-3</v>
      </c>
      <c r="V7" s="58">
        <v>9.0308546305610804E-3</v>
      </c>
      <c r="X7" s="58"/>
    </row>
    <row r="8" spans="1:24" x14ac:dyDescent="0.25">
      <c r="A8" s="77"/>
      <c r="B8" s="79"/>
      <c r="C8" s="80" t="s">
        <v>5</v>
      </c>
      <c r="D8" s="21" t="s">
        <v>11</v>
      </c>
      <c r="E8" s="58">
        <v>4.5154902176778797E-2</v>
      </c>
      <c r="F8" s="58">
        <v>4.5149951641339399E-2</v>
      </c>
      <c r="G8" s="58">
        <v>4.5150134330916601E-2</v>
      </c>
      <c r="H8" s="58">
        <v>4.5150025192559597E-2</v>
      </c>
      <c r="I8" s="58">
        <v>4.5147631485525301E-2</v>
      </c>
      <c r="J8" s="58">
        <v>4.51486708599367E-2</v>
      </c>
      <c r="K8" s="58">
        <v>4.5155341860751499E-2</v>
      </c>
      <c r="L8" s="58">
        <v>4.5148637791210297E-2</v>
      </c>
      <c r="M8" s="58">
        <v>4.5148279549016998E-2</v>
      </c>
      <c r="N8" s="58">
        <v>4.5146399040410401E-2</v>
      </c>
      <c r="O8" s="58">
        <v>4.51464814984366E-2</v>
      </c>
      <c r="P8" s="58">
        <v>4.51451443959359E-2</v>
      </c>
      <c r="Q8" s="58">
        <v>4.5151585649538403E-2</v>
      </c>
      <c r="R8" s="58">
        <v>4.5147034235399501E-2</v>
      </c>
      <c r="S8" s="58">
        <v>4.5144978625789797E-2</v>
      </c>
      <c r="T8" s="58">
        <v>4.5144537171557503E-2</v>
      </c>
      <c r="U8" s="58">
        <v>4.5143455590890703E-2</v>
      </c>
      <c r="V8" s="58">
        <v>4.5142754791108103E-2</v>
      </c>
      <c r="X8" s="58"/>
    </row>
    <row r="9" spans="1:24" x14ac:dyDescent="0.25">
      <c r="A9" s="77"/>
      <c r="B9" s="79"/>
      <c r="C9" s="80"/>
      <c r="D9" s="21" t="s">
        <v>6</v>
      </c>
      <c r="E9" s="58">
        <v>0.114882706775825</v>
      </c>
      <c r="F9" s="58">
        <v>0.114877039092367</v>
      </c>
      <c r="G9" s="58">
        <v>0.114878046986685</v>
      </c>
      <c r="H9" s="58">
        <v>0.114876946270694</v>
      </c>
      <c r="I9" s="58">
        <v>0.11487559669200199</v>
      </c>
      <c r="J9" s="58">
        <v>0.114876827748287</v>
      </c>
      <c r="K9" s="58">
        <v>0.114880617166243</v>
      </c>
      <c r="L9" s="58">
        <v>0.114874482659109</v>
      </c>
      <c r="M9" s="58">
        <v>0.114874745516859</v>
      </c>
      <c r="N9" s="58">
        <v>0.114871929640241</v>
      </c>
      <c r="O9" s="58">
        <v>0.114872322867184</v>
      </c>
      <c r="P9" s="58">
        <v>0.11487173889592101</v>
      </c>
      <c r="Q9" s="58">
        <v>0.11487865831468699</v>
      </c>
      <c r="R9" s="58">
        <v>0.114873202745058</v>
      </c>
      <c r="S9" s="58">
        <v>0.114871732551263</v>
      </c>
      <c r="T9" s="58">
        <v>0.11487145133780299</v>
      </c>
      <c r="U9" s="58">
        <v>0.114870910209942</v>
      </c>
      <c r="V9" s="58">
        <v>0.11486981162767999</v>
      </c>
      <c r="X9" s="58"/>
    </row>
    <row r="10" spans="1:24" x14ac:dyDescent="0.25">
      <c r="A10" s="77"/>
      <c r="B10" s="79"/>
      <c r="C10" s="80"/>
      <c r="D10" s="21" t="s">
        <v>7</v>
      </c>
      <c r="E10" s="58">
        <v>0.12079147216235001</v>
      </c>
      <c r="F10" s="58">
        <v>0.120788947992001</v>
      </c>
      <c r="G10" s="58">
        <v>0.12078941341907901</v>
      </c>
      <c r="H10" s="58">
        <v>0.120788902985189</v>
      </c>
      <c r="I10" s="58">
        <v>0.120788330732106</v>
      </c>
      <c r="J10" s="58">
        <v>0.120788879859731</v>
      </c>
      <c r="K10" s="58">
        <v>0.12079048785171299</v>
      </c>
      <c r="L10" s="58">
        <v>0.12078778762128101</v>
      </c>
      <c r="M10" s="58">
        <v>0.12078791863590101</v>
      </c>
      <c r="N10" s="58">
        <v>0.12078665075497901</v>
      </c>
      <c r="O10" s="58">
        <v>0.12078683208589</v>
      </c>
      <c r="P10" s="58">
        <v>0.120786591614702</v>
      </c>
      <c r="Q10" s="58">
        <v>0.120789663933598</v>
      </c>
      <c r="R10" s="58">
        <v>0.120787229089814</v>
      </c>
      <c r="S10" s="58">
        <v>0.120786592590453</v>
      </c>
      <c r="T10" s="58">
        <v>0.120786471988111</v>
      </c>
      <c r="U10" s="58">
        <v>0.12078624542522</v>
      </c>
      <c r="V10" s="58">
        <v>0.12078574998920701</v>
      </c>
      <c r="X10" s="58"/>
    </row>
    <row r="11" spans="1:24" x14ac:dyDescent="0.25">
      <c r="A11" s="77"/>
      <c r="B11" s="79" t="s">
        <v>2</v>
      </c>
      <c r="C11" s="80" t="s">
        <v>4</v>
      </c>
      <c r="D11" s="21" t="s">
        <v>11</v>
      </c>
      <c r="E11" s="58">
        <v>-0.13672318210114001</v>
      </c>
      <c r="F11" s="58">
        <v>-0.13671925654270101</v>
      </c>
      <c r="G11" s="58">
        <v>-0.13672205173139901</v>
      </c>
      <c r="H11" s="58">
        <v>-0.13671872746035299</v>
      </c>
      <c r="I11" s="58">
        <v>-0.136721444643885</v>
      </c>
      <c r="J11" s="58">
        <v>-0.136722405176679</v>
      </c>
      <c r="K11" s="58">
        <v>-0.13671492655700301</v>
      </c>
      <c r="L11" s="58">
        <v>-0.13671472336173299</v>
      </c>
      <c r="M11" s="58">
        <v>-0.13671667237681101</v>
      </c>
      <c r="N11" s="58">
        <v>-0.136712981806281</v>
      </c>
      <c r="O11" s="58">
        <v>-0.13671403867199799</v>
      </c>
      <c r="P11" s="58">
        <v>-0.136716120204635</v>
      </c>
      <c r="Q11" s="58">
        <v>-0.13671971767407301</v>
      </c>
      <c r="R11" s="58">
        <v>-0.136715296658726</v>
      </c>
      <c r="S11" s="58">
        <v>-0.136716597433407</v>
      </c>
      <c r="T11" s="58">
        <v>-0.13671699131776299</v>
      </c>
      <c r="U11" s="58">
        <v>-0.136718446930641</v>
      </c>
      <c r="V11" s="58">
        <v>-0.13671690838328801</v>
      </c>
      <c r="X11" s="58"/>
    </row>
    <row r="12" spans="1:24" x14ac:dyDescent="0.25">
      <c r="A12" s="77"/>
      <c r="B12" s="79"/>
      <c r="C12" s="80"/>
      <c r="D12" s="21" t="s">
        <v>6</v>
      </c>
      <c r="E12" s="58">
        <v>-4.0649293991509503E-2</v>
      </c>
      <c r="F12" s="58">
        <v>-4.06507759735995E-2</v>
      </c>
      <c r="G12" s="58">
        <v>-4.0656774922173802E-2</v>
      </c>
      <c r="H12" s="58">
        <v>-4.06494123556813E-2</v>
      </c>
      <c r="I12" s="58">
        <v>-4.0660670075680201E-2</v>
      </c>
      <c r="J12" s="58">
        <v>-4.0660670766945899E-2</v>
      </c>
      <c r="K12" s="58">
        <v>-4.0629510769615997E-2</v>
      </c>
      <c r="L12" s="58">
        <v>-4.0643196014602097E-2</v>
      </c>
      <c r="M12" s="58">
        <v>-4.0648402841798999E-2</v>
      </c>
      <c r="N12" s="58">
        <v>-4.06439435399788E-2</v>
      </c>
      <c r="O12" s="58">
        <v>-4.0646182811849001E-2</v>
      </c>
      <c r="P12" s="58">
        <v>-4.0653757592203903E-2</v>
      </c>
      <c r="Q12" s="58">
        <v>-4.0648380664122498E-2</v>
      </c>
      <c r="R12" s="58">
        <v>-4.0647889091333801E-2</v>
      </c>
      <c r="S12" s="58">
        <v>-4.0655197226210603E-2</v>
      </c>
      <c r="T12" s="58">
        <v>-4.0657028246638298E-2</v>
      </c>
      <c r="U12" s="58">
        <v>-4.0662634757588002E-2</v>
      </c>
      <c r="V12" s="58">
        <v>-4.0660599615148597E-2</v>
      </c>
      <c r="X12" s="58"/>
    </row>
    <row r="13" spans="1:24" x14ac:dyDescent="0.25">
      <c r="A13" s="77"/>
      <c r="B13" s="79"/>
      <c r="C13" s="80"/>
      <c r="D13" s="21" t="s">
        <v>7</v>
      </c>
      <c r="E13" s="58">
        <v>-1.67087195249493E-2</v>
      </c>
      <c r="F13" s="58">
        <v>-1.6710679418640201E-2</v>
      </c>
      <c r="G13" s="58">
        <v>-1.67119019185238E-2</v>
      </c>
      <c r="H13" s="58">
        <v>-1.6710363323312501E-2</v>
      </c>
      <c r="I13" s="58">
        <v>-1.6713565782135099E-2</v>
      </c>
      <c r="J13" s="58">
        <v>-1.6713220923764802E-2</v>
      </c>
      <c r="K13" s="58">
        <v>-1.6704341873857099E-2</v>
      </c>
      <c r="L13" s="58">
        <v>-1.6709493884482299E-2</v>
      </c>
      <c r="M13" s="58">
        <v>-1.6710726668880401E-2</v>
      </c>
      <c r="N13" s="58">
        <v>-1.6710396660239501E-2</v>
      </c>
      <c r="O13" s="58">
        <v>-1.6710848390069099E-2</v>
      </c>
      <c r="P13" s="58">
        <v>-1.6712912639655499E-2</v>
      </c>
      <c r="Q13" s="58">
        <v>-1.6709624793678698E-2</v>
      </c>
      <c r="R13" s="58">
        <v>-1.6711030013923701E-2</v>
      </c>
      <c r="S13" s="58">
        <v>-1.6713275632318898E-2</v>
      </c>
      <c r="T13" s="58">
        <v>-1.6713813847386998E-2</v>
      </c>
      <c r="U13" s="58">
        <v>-1.6715372168263801E-2</v>
      </c>
      <c r="V13" s="58">
        <v>-1.6715169440702799E-2</v>
      </c>
      <c r="X13" s="58"/>
    </row>
    <row r="14" spans="1:24" x14ac:dyDescent="0.25">
      <c r="A14" s="77"/>
      <c r="B14" s="79"/>
      <c r="C14" s="80" t="s">
        <v>5</v>
      </c>
      <c r="D14" s="21" t="s">
        <v>11</v>
      </c>
      <c r="E14" s="58">
        <v>3.4847459231366798E-2</v>
      </c>
      <c r="F14" s="58">
        <v>3.4818128496779899E-2</v>
      </c>
      <c r="G14" s="58">
        <v>3.4818000354421799E-2</v>
      </c>
      <c r="H14" s="58">
        <v>3.4818832346255497E-2</v>
      </c>
      <c r="I14" s="58">
        <v>3.4802546936448998E-2</v>
      </c>
      <c r="J14" s="58">
        <v>3.4808640256350998E-2</v>
      </c>
      <c r="K14" s="58">
        <v>3.48539836765056E-2</v>
      </c>
      <c r="L14" s="58">
        <v>3.4811942120878597E-2</v>
      </c>
      <c r="M14" s="58">
        <v>3.48088006888485E-2</v>
      </c>
      <c r="N14" s="58">
        <v>3.4798672128874698E-2</v>
      </c>
      <c r="O14" s="58">
        <v>3.4798706970674297E-2</v>
      </c>
      <c r="P14" s="58">
        <v>3.4789354574679798E-2</v>
      </c>
      <c r="Q14" s="58">
        <v>3.4828188443582597E-2</v>
      </c>
      <c r="R14" s="58">
        <v>3.4801604583990703E-2</v>
      </c>
      <c r="S14" s="58">
        <v>3.4788094748953398E-2</v>
      </c>
      <c r="T14" s="58">
        <v>3.47851410613957E-2</v>
      </c>
      <c r="U14" s="58">
        <v>3.47776796899852E-2</v>
      </c>
      <c r="V14" s="58">
        <v>3.4773982044919501E-2</v>
      </c>
      <c r="X14" s="58"/>
    </row>
    <row r="15" spans="1:24" x14ac:dyDescent="0.25">
      <c r="A15" s="77"/>
      <c r="B15" s="79"/>
      <c r="C15" s="80"/>
      <c r="D15" s="21" t="s">
        <v>6</v>
      </c>
      <c r="E15" s="58">
        <v>2.09748668609651E-2</v>
      </c>
      <c r="F15" s="58">
        <v>2.0963032968913001E-2</v>
      </c>
      <c r="G15" s="58">
        <v>2.0962094646736599E-2</v>
      </c>
      <c r="H15" s="58">
        <v>2.09635134967971E-2</v>
      </c>
      <c r="I15" s="58">
        <v>2.0955397851282399E-2</v>
      </c>
      <c r="J15" s="58">
        <v>2.09578112336892E-2</v>
      </c>
      <c r="K15" s="58">
        <v>2.0980380091693E-2</v>
      </c>
      <c r="L15" s="58">
        <v>2.09617040127483E-2</v>
      </c>
      <c r="M15" s="58">
        <v>2.0959689379865601E-2</v>
      </c>
      <c r="N15" s="58">
        <v>2.0956336389359901E-2</v>
      </c>
      <c r="O15" s="58">
        <v>2.0956019052822399E-2</v>
      </c>
      <c r="P15" s="58">
        <v>2.0951193708644001E-2</v>
      </c>
      <c r="Q15" s="58">
        <v>2.09673715573713E-2</v>
      </c>
      <c r="R15" s="58">
        <v>2.0956914683013701E-2</v>
      </c>
      <c r="S15" s="58">
        <v>2.0950481740045199E-2</v>
      </c>
      <c r="T15" s="58">
        <v>2.0949040802626901E-2</v>
      </c>
      <c r="U15" s="58">
        <v>2.09452558390462E-2</v>
      </c>
      <c r="V15" s="58">
        <v>2.0944091398476399E-2</v>
      </c>
      <c r="X15" s="58"/>
    </row>
    <row r="16" spans="1:24" x14ac:dyDescent="0.25">
      <c r="A16" s="77"/>
      <c r="B16" s="79"/>
      <c r="C16" s="80"/>
      <c r="D16" s="21" t="s">
        <v>7</v>
      </c>
      <c r="E16" s="58">
        <v>9.8841711631159498E-2</v>
      </c>
      <c r="F16" s="58">
        <v>9.8829247134986503E-2</v>
      </c>
      <c r="G16" s="58">
        <v>9.8831208340132398E-2</v>
      </c>
      <c r="H16" s="58">
        <v>9.8829099594603106E-2</v>
      </c>
      <c r="I16" s="58">
        <v>9.88256871269408E-2</v>
      </c>
      <c r="J16" s="58">
        <v>9.8828381217391098E-2</v>
      </c>
      <c r="K16" s="58">
        <v>9.8837944568869907E-2</v>
      </c>
      <c r="L16" s="58">
        <v>9.8823961760048804E-2</v>
      </c>
      <c r="M16" s="58">
        <v>9.8824324636941796E-2</v>
      </c>
      <c r="N16" s="58">
        <v>9.8818344585681395E-2</v>
      </c>
      <c r="O16" s="58">
        <v>9.88191137104346E-2</v>
      </c>
      <c r="P16" s="58">
        <v>9.8817526852705007E-2</v>
      </c>
      <c r="Q16" s="58">
        <v>9.8832888420529799E-2</v>
      </c>
      <c r="R16" s="58">
        <v>9.8820969516465199E-2</v>
      </c>
      <c r="S16" s="58">
        <v>9.8817454244671601E-2</v>
      </c>
      <c r="T16" s="58">
        <v>9.8816764188794301E-2</v>
      </c>
      <c r="U16" s="58">
        <v>9.8815351364883994E-2</v>
      </c>
      <c r="V16" s="58">
        <v>9.8813030440981997E-2</v>
      </c>
      <c r="X16" s="58"/>
    </row>
    <row r="17" spans="1:24" x14ac:dyDescent="0.25">
      <c r="A17" s="77"/>
      <c r="B17" s="79" t="s">
        <v>3</v>
      </c>
      <c r="C17" s="80" t="s">
        <v>4</v>
      </c>
      <c r="D17" s="21" t="s">
        <v>11</v>
      </c>
      <c r="E17" s="58">
        <v>2.71456523532079E-2</v>
      </c>
      <c r="F17" s="58">
        <v>2.71435061733909E-2</v>
      </c>
      <c r="G17" s="58">
        <v>2.7143415100445299E-2</v>
      </c>
      <c r="H17" s="58">
        <v>2.7143575799678701E-2</v>
      </c>
      <c r="I17" s="58">
        <v>2.71422415232845E-2</v>
      </c>
      <c r="J17" s="58">
        <v>2.7142683373019099E-2</v>
      </c>
      <c r="K17" s="58">
        <v>2.7146395820806499E-2</v>
      </c>
      <c r="L17" s="58">
        <v>2.7143160873848202E-2</v>
      </c>
      <c r="M17" s="58">
        <v>2.7142862092777199E-2</v>
      </c>
      <c r="N17" s="58">
        <v>2.71421880973826E-2</v>
      </c>
      <c r="O17" s="58">
        <v>2.7142160151115001E-2</v>
      </c>
      <c r="P17" s="58">
        <v>2.7141378605786099E-2</v>
      </c>
      <c r="Q17" s="58">
        <v>2.7144268188878901E-2</v>
      </c>
      <c r="R17" s="58">
        <v>2.7142347131728299E-2</v>
      </c>
      <c r="S17" s="58">
        <v>2.7141267632880599E-2</v>
      </c>
      <c r="T17" s="58">
        <v>2.7141028446034301E-2</v>
      </c>
      <c r="U17" s="58">
        <v>2.7140410914662499E-2</v>
      </c>
      <c r="V17" s="58">
        <v>2.7140170210151901E-2</v>
      </c>
      <c r="X17" s="58"/>
    </row>
    <row r="18" spans="1:24" x14ac:dyDescent="0.25">
      <c r="A18" s="77"/>
      <c r="B18" s="79"/>
      <c r="C18" s="80"/>
      <c r="D18" s="21" t="s">
        <v>6</v>
      </c>
      <c r="E18" s="58">
        <v>5.4611084093024502E-2</v>
      </c>
      <c r="F18" s="58">
        <v>5.4583754979406998E-2</v>
      </c>
      <c r="G18" s="58">
        <v>5.4585593399235903E-2</v>
      </c>
      <c r="H18" s="58">
        <v>5.4583976974822902E-2</v>
      </c>
      <c r="I18" s="58">
        <v>5.4572210746572501E-2</v>
      </c>
      <c r="J18" s="58">
        <v>5.4577989769100603E-2</v>
      </c>
      <c r="K18" s="58">
        <v>5.4610810625010102E-2</v>
      </c>
      <c r="L18" s="58">
        <v>5.45754114359411E-2</v>
      </c>
      <c r="M18" s="58">
        <v>5.4574133277025497E-2</v>
      </c>
      <c r="N18" s="58">
        <v>5.4563069613124099E-2</v>
      </c>
      <c r="O18" s="58">
        <v>5.4563834417416003E-2</v>
      </c>
      <c r="P18" s="58">
        <v>5.45574391948076E-2</v>
      </c>
      <c r="Q18" s="58">
        <v>5.4592512553330898E-2</v>
      </c>
      <c r="R18" s="58">
        <v>5.45671403194996E-2</v>
      </c>
      <c r="S18" s="58">
        <v>5.4556714772917098E-2</v>
      </c>
      <c r="T18" s="58">
        <v>5.4554511627784102E-2</v>
      </c>
      <c r="U18" s="58">
        <v>5.4549266971664102E-2</v>
      </c>
      <c r="V18" s="58">
        <v>5.454509418675E-2</v>
      </c>
      <c r="X18" s="58"/>
    </row>
    <row r="19" spans="1:24" x14ac:dyDescent="0.25">
      <c r="A19" s="77"/>
      <c r="B19" s="79"/>
      <c r="C19" s="80"/>
      <c r="D19" s="21" t="s">
        <v>7</v>
      </c>
      <c r="E19" s="58">
        <v>0.103691066060574</v>
      </c>
      <c r="F19" s="58">
        <v>0.103674457270404</v>
      </c>
      <c r="G19" s="58">
        <v>0.10367718088948499</v>
      </c>
      <c r="H19" s="58">
        <v>0.10367423621669</v>
      </c>
      <c r="I19" s="58">
        <v>0.103669881464667</v>
      </c>
      <c r="J19" s="58">
        <v>0.10367347689487599</v>
      </c>
      <c r="K19" s="58">
        <v>0.10368568788173101</v>
      </c>
      <c r="L19" s="58">
        <v>0.103667269475209</v>
      </c>
      <c r="M19" s="58">
        <v>0.103667845945468</v>
      </c>
      <c r="N19" s="58">
        <v>0.103659786544608</v>
      </c>
      <c r="O19" s="58">
        <v>0.103660852579886</v>
      </c>
      <c r="P19" s="58">
        <v>0.10365886900753001</v>
      </c>
      <c r="Q19" s="58">
        <v>0.103679274388567</v>
      </c>
      <c r="R19" s="58">
        <v>0.10366335937044301</v>
      </c>
      <c r="S19" s="58">
        <v>0.103658797594345</v>
      </c>
      <c r="T19" s="58">
        <v>0.103657909125277</v>
      </c>
      <c r="U19" s="58">
        <v>0.10365612294483199</v>
      </c>
      <c r="V19" s="58">
        <v>0.10365298968891801</v>
      </c>
      <c r="X19" s="58"/>
    </row>
    <row r="20" spans="1:24" x14ac:dyDescent="0.25">
      <c r="A20" s="77"/>
      <c r="B20" s="79"/>
      <c r="C20" s="80" t="s">
        <v>5</v>
      </c>
      <c r="D20" s="21" t="s">
        <v>11</v>
      </c>
      <c r="E20" s="58">
        <v>0.18459377582203501</v>
      </c>
      <c r="F20" s="58">
        <v>0.18453664788660401</v>
      </c>
      <c r="G20" s="58">
        <v>0.184549994319847</v>
      </c>
      <c r="H20" s="58">
        <v>0.18453500583305199</v>
      </c>
      <c r="I20" s="58">
        <v>0.18452695786536699</v>
      </c>
      <c r="J20" s="58">
        <v>0.18453952795876699</v>
      </c>
      <c r="K20" s="58">
        <v>0.184562354654911</v>
      </c>
      <c r="L20" s="58">
        <v>0.18450668985862001</v>
      </c>
      <c r="M20" s="58">
        <v>0.18451202343575099</v>
      </c>
      <c r="N20" s="58">
        <v>0.18448101174627701</v>
      </c>
      <c r="O20" s="58">
        <v>0.18448616449583699</v>
      </c>
      <c r="P20" s="58">
        <v>0.18448405848659499</v>
      </c>
      <c r="Q20" s="58">
        <v>0.18455196220369499</v>
      </c>
      <c r="R20" s="58">
        <v>0.184496013534034</v>
      </c>
      <c r="S20" s="58">
        <v>0.18448472623120499</v>
      </c>
      <c r="T20" s="58">
        <v>0.18448278765704501</v>
      </c>
      <c r="U20" s="58">
        <v>0.184480117154872</v>
      </c>
      <c r="V20" s="58">
        <v>0.184467869847209</v>
      </c>
      <c r="X20" s="58"/>
    </row>
    <row r="21" spans="1:24" x14ac:dyDescent="0.25">
      <c r="A21" s="77"/>
      <c r="B21" s="79"/>
      <c r="C21" s="80"/>
      <c r="D21" s="21" t="s">
        <v>6</v>
      </c>
      <c r="E21" s="58">
        <v>0.209196331387136</v>
      </c>
      <c r="F21" s="58">
        <v>0.209155813774768</v>
      </c>
      <c r="G21" s="58">
        <v>0.209165782311897</v>
      </c>
      <c r="H21" s="58">
        <v>0.209154537765087</v>
      </c>
      <c r="I21" s="58">
        <v>0.20914970368633001</v>
      </c>
      <c r="J21" s="58">
        <v>0.20915864552782501</v>
      </c>
      <c r="K21" s="58">
        <v>0.20917241761115199</v>
      </c>
      <c r="L21" s="58">
        <v>0.20913390164319001</v>
      </c>
      <c r="M21" s="58">
        <v>0.20913810835577301</v>
      </c>
      <c r="N21" s="58">
        <v>0.20911569170236399</v>
      </c>
      <c r="O21" s="58">
        <v>0.20911953520037899</v>
      </c>
      <c r="P21" s="58">
        <v>0.20911863679730699</v>
      </c>
      <c r="Q21" s="58">
        <v>0.20916651798637401</v>
      </c>
      <c r="R21" s="58">
        <v>0.209126677623691</v>
      </c>
      <c r="S21" s="58">
        <v>0.20911922591002699</v>
      </c>
      <c r="T21" s="58">
        <v>0.20911799169704401</v>
      </c>
      <c r="U21" s="58">
        <v>0.20911653579793901</v>
      </c>
      <c r="V21" s="58">
        <v>0.20910766075659801</v>
      </c>
      <c r="X21" s="58"/>
    </row>
    <row r="22" spans="1:24" x14ac:dyDescent="0.25">
      <c r="A22" s="78"/>
      <c r="B22" s="79"/>
      <c r="C22" s="80"/>
      <c r="D22" s="21" t="s">
        <v>7</v>
      </c>
      <c r="E22" s="59">
        <v>0.205485305631045</v>
      </c>
      <c r="F22" s="59">
        <v>0.205448033634725</v>
      </c>
      <c r="G22" s="59">
        <v>0.20545714001445001</v>
      </c>
      <c r="H22" s="59">
        <v>0.20544687394312799</v>
      </c>
      <c r="I22" s="59">
        <v>0.20544231611710201</v>
      </c>
      <c r="J22" s="59">
        <v>0.20545053848427999</v>
      </c>
      <c r="K22" s="59">
        <v>0.20546351440275101</v>
      </c>
      <c r="L22" s="59">
        <v>0.20542796028840801</v>
      </c>
      <c r="M22" s="59">
        <v>0.20543177646521399</v>
      </c>
      <c r="N22" s="59">
        <v>0.20541120773364599</v>
      </c>
      <c r="O22" s="59">
        <v>0.20541471965769301</v>
      </c>
      <c r="P22" s="59">
        <v>0.20541381773762499</v>
      </c>
      <c r="Q22" s="59">
        <v>0.20545790053979701</v>
      </c>
      <c r="R22" s="59">
        <v>0.205421270451179</v>
      </c>
      <c r="S22" s="59">
        <v>0.205414345057614</v>
      </c>
      <c r="T22" s="59">
        <v>0.205413191808372</v>
      </c>
      <c r="U22" s="59">
        <v>0.20541179693468301</v>
      </c>
      <c r="V22" s="59">
        <v>0.20540365615751199</v>
      </c>
      <c r="X22" s="58"/>
    </row>
    <row r="23" spans="1:24" ht="9.75" customHeight="1" x14ac:dyDescent="0.25"/>
    <row r="24" spans="1:24" ht="27.75" customHeight="1" x14ac:dyDescent="0.25">
      <c r="B24" s="81"/>
      <c r="C24" s="81"/>
      <c r="D24" s="81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</row>
  </sheetData>
  <mergeCells count="22">
    <mergeCell ref="E1:V1"/>
    <mergeCell ref="E2:J2"/>
    <mergeCell ref="K2:P2"/>
    <mergeCell ref="Q2:V2"/>
    <mergeCell ref="X2:X4"/>
    <mergeCell ref="E3:G3"/>
    <mergeCell ref="H3:J3"/>
    <mergeCell ref="K3:M3"/>
    <mergeCell ref="N3:P3"/>
    <mergeCell ref="Q3:S3"/>
    <mergeCell ref="C20:C22"/>
    <mergeCell ref="B24:D24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</mergeCells>
  <conditionalFormatting sqref="E5:V22">
    <cfRule type="cellIs" dxfId="5" priority="7" operator="lessThan">
      <formula>0</formula>
    </cfRule>
    <cfRule type="cellIs" dxfId="4" priority="8" operator="greaterThan">
      <formula>0</formula>
    </cfRule>
  </conditionalFormatting>
  <conditionalFormatting sqref="E24:V24">
    <cfRule type="cellIs" dxfId="3" priority="4" operator="lessThan">
      <formula>0</formula>
    </cfRule>
    <cfRule type="cellIs" dxfId="2" priority="5" operator="greaterThan">
      <formula>0</formula>
    </cfRule>
  </conditionalFormatting>
  <conditionalFormatting sqref="X5:X2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B9AA-09E1-4594-A7DC-15772A2E4ACB}">
  <dimension ref="A1:F4"/>
  <sheetViews>
    <sheetView workbookViewId="0">
      <selection activeCell="B1" sqref="B1"/>
    </sheetView>
  </sheetViews>
  <sheetFormatPr defaultRowHeight="12.75" x14ac:dyDescent="0.2"/>
  <sheetData>
    <row r="1" spans="1:6" x14ac:dyDescent="0.2">
      <c r="B1" t="s">
        <v>25</v>
      </c>
    </row>
    <row r="2" spans="1:6" x14ac:dyDescent="0.2">
      <c r="B2" t="s">
        <v>12</v>
      </c>
    </row>
    <row r="3" spans="1:6" x14ac:dyDescent="0.2">
      <c r="B3">
        <v>-16</v>
      </c>
      <c r="C3">
        <v>-8</v>
      </c>
      <c r="D3">
        <v>0</v>
      </c>
      <c r="E3">
        <v>8</v>
      </c>
      <c r="F3">
        <v>16</v>
      </c>
    </row>
    <row r="4" spans="1:6" x14ac:dyDescent="0.2">
      <c r="A4" t="s">
        <v>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60288-4857-42AB-B789-EBC245FD59E4}">
  <dimension ref="A1:W23"/>
  <sheetViews>
    <sheetView showGridLines="0" workbookViewId="0">
      <selection sqref="A1:W23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6.28515625" style="11" customWidth="1"/>
    <col min="5" max="22" width="9.140625" style="11"/>
    <col min="23" max="23" width="10.42578125" style="11" customWidth="1"/>
    <col min="24" max="16384" width="9.140625" style="11"/>
  </cols>
  <sheetData>
    <row r="1" spans="1:23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3" ht="16.5" thickTop="1" x14ac:dyDescent="0.25">
      <c r="B2" s="52" t="s">
        <v>79</v>
      </c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2" t="s">
        <v>3</v>
      </c>
      <c r="R2" s="70"/>
      <c r="S2" s="70"/>
      <c r="T2" s="70"/>
      <c r="U2" s="70"/>
      <c r="V2" s="71"/>
      <c r="W2" s="82" t="s">
        <v>78</v>
      </c>
    </row>
    <row r="3" spans="1:23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4"/>
      <c r="W3" s="83"/>
    </row>
    <row r="4" spans="1:23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7" t="s">
        <v>7</v>
      </c>
      <c r="W4" s="84"/>
    </row>
    <row r="5" spans="1:23" x14ac:dyDescent="0.25">
      <c r="A5" s="76" t="s">
        <v>12</v>
      </c>
      <c r="B5" s="79" t="s">
        <v>1</v>
      </c>
      <c r="C5" s="80" t="s">
        <v>4</v>
      </c>
      <c r="D5" s="19" t="s">
        <v>13</v>
      </c>
      <c r="E5" s="66">
        <v>486</v>
      </c>
      <c r="F5" s="62">
        <v>148.5</v>
      </c>
      <c r="G5" s="62">
        <v>15.5</v>
      </c>
      <c r="H5" s="62">
        <v>244.5</v>
      </c>
      <c r="I5" s="62">
        <v>179</v>
      </c>
      <c r="J5" s="62">
        <v>10.5</v>
      </c>
      <c r="K5" s="62">
        <v>6</v>
      </c>
      <c r="L5" s="62">
        <v>2</v>
      </c>
      <c r="M5" s="62">
        <v>0</v>
      </c>
      <c r="N5" s="62">
        <v>5</v>
      </c>
      <c r="O5" s="62">
        <v>0</v>
      </c>
      <c r="P5" s="62">
        <v>0</v>
      </c>
      <c r="Q5" s="62">
        <v>34.5</v>
      </c>
      <c r="R5" s="62">
        <v>8.5</v>
      </c>
      <c r="S5" s="62">
        <v>0</v>
      </c>
      <c r="T5" s="62">
        <v>15.5</v>
      </c>
      <c r="U5" s="62">
        <v>12.5</v>
      </c>
      <c r="V5" s="62">
        <v>0.5</v>
      </c>
      <c r="W5" s="62">
        <v>297666.5</v>
      </c>
    </row>
    <row r="6" spans="1:23" x14ac:dyDescent="0.25">
      <c r="A6" s="77"/>
      <c r="B6" s="79"/>
      <c r="C6" s="80"/>
      <c r="D6" s="19" t="s">
        <v>14</v>
      </c>
      <c r="E6" s="67">
        <v>115.5</v>
      </c>
      <c r="F6" s="65">
        <v>800</v>
      </c>
      <c r="G6" s="65">
        <v>140</v>
      </c>
      <c r="H6" s="65">
        <v>68</v>
      </c>
      <c r="I6" s="65">
        <v>1060</v>
      </c>
      <c r="J6" s="65">
        <v>136.5</v>
      </c>
      <c r="K6" s="65">
        <v>2</v>
      </c>
      <c r="L6" s="65">
        <v>9</v>
      </c>
      <c r="M6" s="65">
        <v>2</v>
      </c>
      <c r="N6" s="65">
        <v>1</v>
      </c>
      <c r="O6" s="65">
        <v>7.5</v>
      </c>
      <c r="P6" s="65">
        <v>3.5</v>
      </c>
      <c r="Q6" s="65">
        <v>9.5</v>
      </c>
      <c r="R6" s="65">
        <v>39.5</v>
      </c>
      <c r="S6" s="65">
        <v>4.5</v>
      </c>
      <c r="T6" s="65">
        <v>2.5</v>
      </c>
      <c r="U6" s="65">
        <v>71</v>
      </c>
      <c r="V6" s="65">
        <v>10</v>
      </c>
      <c r="W6" s="65">
        <v>52465</v>
      </c>
    </row>
    <row r="7" spans="1:23" x14ac:dyDescent="0.25">
      <c r="A7" s="77"/>
      <c r="B7" s="79"/>
      <c r="C7" s="80"/>
      <c r="D7" s="19" t="s">
        <v>15</v>
      </c>
      <c r="E7" s="67">
        <v>7.5</v>
      </c>
      <c r="F7" s="65">
        <v>91</v>
      </c>
      <c r="G7" s="65">
        <v>829</v>
      </c>
      <c r="H7" s="65">
        <v>2</v>
      </c>
      <c r="I7" s="65">
        <v>97.5</v>
      </c>
      <c r="J7" s="65">
        <v>697.5</v>
      </c>
      <c r="K7" s="65">
        <v>0</v>
      </c>
      <c r="L7" s="65">
        <v>4</v>
      </c>
      <c r="M7" s="65">
        <v>4.5</v>
      </c>
      <c r="N7" s="65">
        <v>0</v>
      </c>
      <c r="O7" s="65">
        <v>2</v>
      </c>
      <c r="P7" s="65">
        <v>6.5</v>
      </c>
      <c r="Q7" s="65">
        <v>1.5</v>
      </c>
      <c r="R7" s="65">
        <v>10</v>
      </c>
      <c r="S7" s="65">
        <v>30</v>
      </c>
      <c r="T7" s="65">
        <v>1.5</v>
      </c>
      <c r="U7" s="65">
        <v>19.5</v>
      </c>
      <c r="V7" s="65">
        <v>39</v>
      </c>
      <c r="W7" s="65">
        <v>103447</v>
      </c>
    </row>
    <row r="8" spans="1:23" x14ac:dyDescent="0.25">
      <c r="A8" s="77"/>
      <c r="B8" s="79"/>
      <c r="C8" s="80" t="s">
        <v>5</v>
      </c>
      <c r="D8" s="21" t="s">
        <v>11</v>
      </c>
      <c r="E8" s="67">
        <v>136.5</v>
      </c>
      <c r="F8" s="65">
        <v>57</v>
      </c>
      <c r="G8" s="65">
        <v>4</v>
      </c>
      <c r="H8" s="65">
        <v>548</v>
      </c>
      <c r="I8" s="65">
        <v>467</v>
      </c>
      <c r="J8" s="65">
        <v>3</v>
      </c>
      <c r="K8" s="65">
        <v>0</v>
      </c>
      <c r="L8" s="65">
        <v>3.5</v>
      </c>
      <c r="M8" s="65">
        <v>0</v>
      </c>
      <c r="N8" s="65">
        <v>1</v>
      </c>
      <c r="O8" s="65">
        <v>5</v>
      </c>
      <c r="P8" s="65">
        <v>0</v>
      </c>
      <c r="Q8" s="65">
        <v>9.5</v>
      </c>
      <c r="R8" s="65">
        <v>3</v>
      </c>
      <c r="S8" s="65">
        <v>1</v>
      </c>
      <c r="T8" s="65">
        <v>31</v>
      </c>
      <c r="U8" s="65">
        <v>35.5</v>
      </c>
      <c r="V8" s="65">
        <v>0</v>
      </c>
      <c r="W8" s="65">
        <v>45804</v>
      </c>
    </row>
    <row r="9" spans="1:23" x14ac:dyDescent="0.25">
      <c r="A9" s="77"/>
      <c r="B9" s="79"/>
      <c r="C9" s="80"/>
      <c r="D9" s="21" t="s">
        <v>6</v>
      </c>
      <c r="E9" s="67">
        <v>65</v>
      </c>
      <c r="F9" s="65">
        <v>483</v>
      </c>
      <c r="G9" s="65">
        <v>64.5</v>
      </c>
      <c r="H9" s="65">
        <v>132</v>
      </c>
      <c r="I9" s="65">
        <v>4070</v>
      </c>
      <c r="J9" s="65">
        <v>330</v>
      </c>
      <c r="K9" s="65">
        <v>2.5</v>
      </c>
      <c r="L9" s="65">
        <v>4</v>
      </c>
      <c r="M9" s="65">
        <v>0.5</v>
      </c>
      <c r="N9" s="65">
        <v>1</v>
      </c>
      <c r="O9" s="65">
        <v>43</v>
      </c>
      <c r="P9" s="65">
        <v>2.5</v>
      </c>
      <c r="Q9" s="65">
        <v>3</v>
      </c>
      <c r="R9" s="65">
        <v>37.5</v>
      </c>
      <c r="S9" s="65">
        <v>7</v>
      </c>
      <c r="T9" s="65">
        <v>14</v>
      </c>
      <c r="U9" s="65">
        <v>347.5</v>
      </c>
      <c r="V9" s="65">
        <v>34</v>
      </c>
      <c r="W9" s="65">
        <v>63357</v>
      </c>
    </row>
    <row r="10" spans="1:23" x14ac:dyDescent="0.25">
      <c r="A10" s="77"/>
      <c r="B10" s="79"/>
      <c r="C10" s="80"/>
      <c r="D10" s="21" t="s">
        <v>7</v>
      </c>
      <c r="E10" s="67">
        <v>0.5</v>
      </c>
      <c r="F10" s="65">
        <v>50.5</v>
      </c>
      <c r="G10" s="65">
        <v>455.5</v>
      </c>
      <c r="H10" s="65">
        <v>6</v>
      </c>
      <c r="I10" s="65">
        <v>203</v>
      </c>
      <c r="J10" s="65">
        <v>1244</v>
      </c>
      <c r="K10" s="65">
        <v>0.5</v>
      </c>
      <c r="L10" s="65">
        <v>1</v>
      </c>
      <c r="M10" s="65">
        <v>6</v>
      </c>
      <c r="N10" s="65">
        <v>0</v>
      </c>
      <c r="O10" s="65">
        <v>4</v>
      </c>
      <c r="P10" s="65">
        <v>25</v>
      </c>
      <c r="Q10" s="65">
        <v>1</v>
      </c>
      <c r="R10" s="65">
        <v>16.5</v>
      </c>
      <c r="S10" s="65">
        <v>28.5</v>
      </c>
      <c r="T10" s="65">
        <v>0</v>
      </c>
      <c r="U10" s="65">
        <v>26</v>
      </c>
      <c r="V10" s="65">
        <v>97</v>
      </c>
      <c r="W10" s="65">
        <v>88865</v>
      </c>
    </row>
    <row r="11" spans="1:23" x14ac:dyDescent="0.25">
      <c r="A11" s="77"/>
      <c r="B11" s="79" t="s">
        <v>2</v>
      </c>
      <c r="C11" s="80" t="s">
        <v>4</v>
      </c>
      <c r="D11" s="21" t="s">
        <v>11</v>
      </c>
      <c r="E11" s="67">
        <v>8</v>
      </c>
      <c r="F11" s="65">
        <v>6</v>
      </c>
      <c r="G11" s="65">
        <v>0</v>
      </c>
      <c r="H11" s="65">
        <v>4</v>
      </c>
      <c r="I11" s="65">
        <v>5.5</v>
      </c>
      <c r="J11" s="65">
        <v>1.5</v>
      </c>
      <c r="K11" s="65">
        <v>16</v>
      </c>
      <c r="L11" s="65">
        <v>7.5</v>
      </c>
      <c r="M11" s="65">
        <v>3</v>
      </c>
      <c r="N11" s="65">
        <v>10.5</v>
      </c>
      <c r="O11" s="65">
        <v>15</v>
      </c>
      <c r="P11" s="65">
        <v>5</v>
      </c>
      <c r="Q11" s="65">
        <v>2</v>
      </c>
      <c r="R11" s="65">
        <v>3</v>
      </c>
      <c r="S11" s="65">
        <v>0</v>
      </c>
      <c r="T11" s="65">
        <v>2</v>
      </c>
      <c r="U11" s="65">
        <v>2</v>
      </c>
      <c r="V11" s="65">
        <v>0</v>
      </c>
      <c r="W11" s="65">
        <v>43060</v>
      </c>
    </row>
    <row r="12" spans="1:23" x14ac:dyDescent="0.25">
      <c r="A12" s="77"/>
      <c r="B12" s="79"/>
      <c r="C12" s="80"/>
      <c r="D12" s="21" t="s">
        <v>6</v>
      </c>
      <c r="E12" s="67">
        <v>1</v>
      </c>
      <c r="F12" s="65">
        <v>15</v>
      </c>
      <c r="G12" s="65">
        <v>6</v>
      </c>
      <c r="H12" s="65">
        <v>3.5</v>
      </c>
      <c r="I12" s="65">
        <v>19</v>
      </c>
      <c r="J12" s="65">
        <v>3</v>
      </c>
      <c r="K12" s="65">
        <v>5.5</v>
      </c>
      <c r="L12" s="65">
        <v>62</v>
      </c>
      <c r="M12" s="65">
        <v>19.5</v>
      </c>
      <c r="N12" s="65">
        <v>3</v>
      </c>
      <c r="O12" s="65">
        <v>88.5</v>
      </c>
      <c r="P12" s="65">
        <v>23.5</v>
      </c>
      <c r="Q12" s="65">
        <v>1</v>
      </c>
      <c r="R12" s="65">
        <v>7</v>
      </c>
      <c r="S12" s="65">
        <v>2.5</v>
      </c>
      <c r="T12" s="65">
        <v>0</v>
      </c>
      <c r="U12" s="65">
        <v>8</v>
      </c>
      <c r="V12" s="65">
        <v>1</v>
      </c>
      <c r="W12" s="65">
        <v>13614</v>
      </c>
    </row>
    <row r="13" spans="1:23" x14ac:dyDescent="0.25">
      <c r="A13" s="77"/>
      <c r="B13" s="79"/>
      <c r="C13" s="80"/>
      <c r="D13" s="21" t="s">
        <v>7</v>
      </c>
      <c r="E13" s="67">
        <v>0</v>
      </c>
      <c r="F13" s="65">
        <v>2</v>
      </c>
      <c r="G13" s="65">
        <v>11.5</v>
      </c>
      <c r="H13" s="65">
        <v>0</v>
      </c>
      <c r="I13" s="65">
        <v>3.5</v>
      </c>
      <c r="J13" s="65">
        <v>16</v>
      </c>
      <c r="K13" s="65">
        <v>3</v>
      </c>
      <c r="L13" s="65">
        <v>7.5</v>
      </c>
      <c r="M13" s="65">
        <v>110</v>
      </c>
      <c r="N13" s="65">
        <v>1</v>
      </c>
      <c r="O13" s="65">
        <v>7</v>
      </c>
      <c r="P13" s="65">
        <v>79</v>
      </c>
      <c r="Q13" s="65">
        <v>0</v>
      </c>
      <c r="R13" s="65">
        <v>1</v>
      </c>
      <c r="S13" s="65">
        <v>4.5</v>
      </c>
      <c r="T13" s="65">
        <v>0</v>
      </c>
      <c r="U13" s="65">
        <v>0</v>
      </c>
      <c r="V13" s="65">
        <v>2.5</v>
      </c>
      <c r="W13" s="65">
        <v>20428.5</v>
      </c>
    </row>
    <row r="14" spans="1:23" x14ac:dyDescent="0.25">
      <c r="A14" s="77"/>
      <c r="B14" s="79"/>
      <c r="C14" s="80" t="s">
        <v>5</v>
      </c>
      <c r="D14" s="21" t="s">
        <v>11</v>
      </c>
      <c r="E14" s="67">
        <v>3</v>
      </c>
      <c r="F14" s="65">
        <v>0</v>
      </c>
      <c r="G14" s="65">
        <v>0</v>
      </c>
      <c r="H14" s="65">
        <v>7</v>
      </c>
      <c r="I14" s="65">
        <v>7</v>
      </c>
      <c r="J14" s="65">
        <v>0</v>
      </c>
      <c r="K14" s="65">
        <v>3.5</v>
      </c>
      <c r="L14" s="65">
        <v>4</v>
      </c>
      <c r="M14" s="65">
        <v>0</v>
      </c>
      <c r="N14" s="65">
        <v>8</v>
      </c>
      <c r="O14" s="65">
        <v>11</v>
      </c>
      <c r="P14" s="65">
        <v>0</v>
      </c>
      <c r="Q14" s="65">
        <v>1</v>
      </c>
      <c r="R14" s="65">
        <v>0</v>
      </c>
      <c r="S14" s="65">
        <v>0</v>
      </c>
      <c r="T14" s="65">
        <v>1.5</v>
      </c>
      <c r="U14" s="65">
        <v>1</v>
      </c>
      <c r="V14" s="65">
        <v>0</v>
      </c>
      <c r="W14" s="65">
        <v>6061</v>
      </c>
    </row>
    <row r="15" spans="1:23" x14ac:dyDescent="0.25">
      <c r="A15" s="77"/>
      <c r="B15" s="79"/>
      <c r="C15" s="80"/>
      <c r="D15" s="21" t="s">
        <v>6</v>
      </c>
      <c r="E15" s="67">
        <v>1</v>
      </c>
      <c r="F15" s="65">
        <v>12.5</v>
      </c>
      <c r="G15" s="65">
        <v>1</v>
      </c>
      <c r="H15" s="65">
        <v>4</v>
      </c>
      <c r="I15" s="65">
        <v>62</v>
      </c>
      <c r="J15" s="65">
        <v>8</v>
      </c>
      <c r="K15" s="65">
        <v>5</v>
      </c>
      <c r="L15" s="65">
        <v>42.5</v>
      </c>
      <c r="M15" s="65">
        <v>6</v>
      </c>
      <c r="N15" s="65">
        <v>2</v>
      </c>
      <c r="O15" s="65">
        <v>198</v>
      </c>
      <c r="P15" s="65">
        <v>24.5</v>
      </c>
      <c r="Q15" s="65">
        <v>0</v>
      </c>
      <c r="R15" s="65">
        <v>3</v>
      </c>
      <c r="S15" s="65">
        <v>0</v>
      </c>
      <c r="T15" s="65">
        <v>1</v>
      </c>
      <c r="U15" s="65">
        <v>30.5</v>
      </c>
      <c r="V15" s="65">
        <v>2.5</v>
      </c>
      <c r="W15" s="65">
        <v>8285.5</v>
      </c>
    </row>
    <row r="16" spans="1:23" x14ac:dyDescent="0.25">
      <c r="A16" s="77"/>
      <c r="B16" s="79"/>
      <c r="C16" s="80"/>
      <c r="D16" s="21" t="s">
        <v>7</v>
      </c>
      <c r="E16" s="67">
        <v>0</v>
      </c>
      <c r="F16" s="65">
        <v>6.5</v>
      </c>
      <c r="G16" s="65">
        <v>7.5</v>
      </c>
      <c r="H16" s="65">
        <v>0</v>
      </c>
      <c r="I16" s="65">
        <v>4.5</v>
      </c>
      <c r="J16" s="65">
        <v>23</v>
      </c>
      <c r="K16" s="65">
        <v>1</v>
      </c>
      <c r="L16" s="65">
        <v>10.5</v>
      </c>
      <c r="M16" s="65">
        <v>41</v>
      </c>
      <c r="N16" s="65">
        <v>1</v>
      </c>
      <c r="O16" s="65">
        <v>25.5</v>
      </c>
      <c r="P16" s="65">
        <v>110</v>
      </c>
      <c r="Q16" s="65">
        <v>0</v>
      </c>
      <c r="R16" s="65">
        <v>0</v>
      </c>
      <c r="S16" s="65">
        <v>2</v>
      </c>
      <c r="T16" s="65">
        <v>0</v>
      </c>
      <c r="U16" s="65">
        <v>1.5</v>
      </c>
      <c r="V16" s="65">
        <v>7</v>
      </c>
      <c r="W16" s="65">
        <v>10693</v>
      </c>
    </row>
    <row r="17" spans="1:23" x14ac:dyDescent="0.25">
      <c r="A17" s="77"/>
      <c r="B17" s="79" t="s">
        <v>3</v>
      </c>
      <c r="C17" s="80" t="s">
        <v>4</v>
      </c>
      <c r="D17" s="21" t="s">
        <v>11</v>
      </c>
      <c r="E17" s="67">
        <v>30.5</v>
      </c>
      <c r="F17" s="65">
        <v>12.5</v>
      </c>
      <c r="G17" s="65">
        <v>0.5</v>
      </c>
      <c r="H17" s="65">
        <v>20.5</v>
      </c>
      <c r="I17" s="65">
        <v>13</v>
      </c>
      <c r="J17" s="65">
        <v>0</v>
      </c>
      <c r="K17" s="65">
        <v>2</v>
      </c>
      <c r="L17" s="65">
        <v>2</v>
      </c>
      <c r="M17" s="65">
        <v>0</v>
      </c>
      <c r="N17" s="65">
        <v>2</v>
      </c>
      <c r="O17" s="65">
        <v>0</v>
      </c>
      <c r="P17" s="65">
        <v>0</v>
      </c>
      <c r="Q17" s="65">
        <v>67</v>
      </c>
      <c r="R17" s="65">
        <v>21</v>
      </c>
      <c r="S17" s="65">
        <v>5</v>
      </c>
      <c r="T17" s="65">
        <v>27.5</v>
      </c>
      <c r="U17" s="65">
        <v>15.5</v>
      </c>
      <c r="V17" s="65">
        <v>2</v>
      </c>
      <c r="W17" s="65">
        <v>73674</v>
      </c>
    </row>
    <row r="18" spans="1:23" x14ac:dyDescent="0.25">
      <c r="A18" s="77"/>
      <c r="B18" s="79"/>
      <c r="C18" s="80"/>
      <c r="D18" s="21" t="s">
        <v>6</v>
      </c>
      <c r="E18" s="67">
        <v>4.5</v>
      </c>
      <c r="F18" s="65">
        <v>42.5</v>
      </c>
      <c r="G18" s="65">
        <v>5</v>
      </c>
      <c r="H18" s="65">
        <v>2</v>
      </c>
      <c r="I18" s="65">
        <v>65.5</v>
      </c>
      <c r="J18" s="65">
        <v>6.5</v>
      </c>
      <c r="K18" s="65">
        <v>0</v>
      </c>
      <c r="L18" s="65">
        <v>2</v>
      </c>
      <c r="M18" s="65">
        <v>1</v>
      </c>
      <c r="N18" s="65">
        <v>1</v>
      </c>
      <c r="O18" s="65">
        <v>4</v>
      </c>
      <c r="P18" s="65">
        <v>0</v>
      </c>
      <c r="Q18" s="65">
        <v>17</v>
      </c>
      <c r="R18" s="65">
        <v>129</v>
      </c>
      <c r="S18" s="65">
        <v>41.5</v>
      </c>
      <c r="T18" s="65">
        <v>11</v>
      </c>
      <c r="U18" s="65">
        <v>101.5</v>
      </c>
      <c r="V18" s="65">
        <v>18</v>
      </c>
      <c r="W18" s="65">
        <v>12186</v>
      </c>
    </row>
    <row r="19" spans="1:23" x14ac:dyDescent="0.25">
      <c r="A19" s="77"/>
      <c r="B19" s="79"/>
      <c r="C19" s="80"/>
      <c r="D19" s="21" t="s">
        <v>7</v>
      </c>
      <c r="E19" s="67">
        <v>0</v>
      </c>
      <c r="F19" s="65">
        <v>4.5</v>
      </c>
      <c r="G19" s="65">
        <v>16</v>
      </c>
      <c r="H19" s="65">
        <v>0</v>
      </c>
      <c r="I19" s="65">
        <v>5</v>
      </c>
      <c r="J19" s="65">
        <v>20.5</v>
      </c>
      <c r="K19" s="65">
        <v>1</v>
      </c>
      <c r="L19" s="65">
        <v>0.5</v>
      </c>
      <c r="M19" s="65">
        <v>3.5</v>
      </c>
      <c r="N19" s="65">
        <v>0</v>
      </c>
      <c r="O19" s="65">
        <v>1</v>
      </c>
      <c r="P19" s="65">
        <v>3</v>
      </c>
      <c r="Q19" s="65">
        <v>3</v>
      </c>
      <c r="R19" s="65">
        <v>16.5</v>
      </c>
      <c r="S19" s="65">
        <v>96</v>
      </c>
      <c r="T19" s="65">
        <v>2</v>
      </c>
      <c r="U19" s="65">
        <v>10.5</v>
      </c>
      <c r="V19" s="65">
        <v>34</v>
      </c>
      <c r="W19" s="65">
        <v>11633</v>
      </c>
    </row>
    <row r="20" spans="1:23" x14ac:dyDescent="0.25">
      <c r="A20" s="77"/>
      <c r="B20" s="79"/>
      <c r="C20" s="80" t="s">
        <v>5</v>
      </c>
      <c r="D20" s="21" t="s">
        <v>11</v>
      </c>
      <c r="E20" s="67">
        <v>9.5</v>
      </c>
      <c r="F20" s="65">
        <v>0.5</v>
      </c>
      <c r="G20" s="65">
        <v>0.5</v>
      </c>
      <c r="H20" s="65">
        <v>23</v>
      </c>
      <c r="I20" s="65">
        <v>23</v>
      </c>
      <c r="J20" s="65">
        <v>1</v>
      </c>
      <c r="K20" s="65">
        <v>0</v>
      </c>
      <c r="L20" s="65">
        <v>0</v>
      </c>
      <c r="M20" s="65">
        <v>0</v>
      </c>
      <c r="N20" s="65">
        <v>0.5</v>
      </c>
      <c r="O20" s="65">
        <v>2</v>
      </c>
      <c r="P20" s="65">
        <v>0</v>
      </c>
      <c r="Q20" s="65">
        <v>8.5</v>
      </c>
      <c r="R20" s="65">
        <v>6</v>
      </c>
      <c r="S20" s="65">
        <v>3</v>
      </c>
      <c r="T20" s="65">
        <v>29</v>
      </c>
      <c r="U20" s="65">
        <v>30</v>
      </c>
      <c r="V20" s="65">
        <v>2.5</v>
      </c>
      <c r="W20" s="65">
        <v>11808</v>
      </c>
    </row>
    <row r="21" spans="1:23" x14ac:dyDescent="0.25">
      <c r="A21" s="77"/>
      <c r="B21" s="79"/>
      <c r="C21" s="80"/>
      <c r="D21" s="21" t="s">
        <v>6</v>
      </c>
      <c r="E21" s="67">
        <v>5.5</v>
      </c>
      <c r="F21" s="65">
        <v>27</v>
      </c>
      <c r="G21" s="65">
        <v>3.5</v>
      </c>
      <c r="H21" s="65">
        <v>6.5</v>
      </c>
      <c r="I21" s="65">
        <v>235.5</v>
      </c>
      <c r="J21" s="65">
        <v>29</v>
      </c>
      <c r="K21" s="65">
        <v>0</v>
      </c>
      <c r="L21" s="65">
        <v>4</v>
      </c>
      <c r="M21" s="65">
        <v>0</v>
      </c>
      <c r="N21" s="65">
        <v>0</v>
      </c>
      <c r="O21" s="65">
        <v>10.5</v>
      </c>
      <c r="P21" s="65">
        <v>2.5</v>
      </c>
      <c r="Q21" s="65">
        <v>9.5</v>
      </c>
      <c r="R21" s="65">
        <v>64.5</v>
      </c>
      <c r="S21" s="65">
        <v>12.5</v>
      </c>
      <c r="T21" s="65">
        <v>21</v>
      </c>
      <c r="U21" s="65">
        <v>600</v>
      </c>
      <c r="V21" s="65">
        <v>32</v>
      </c>
      <c r="W21" s="65">
        <v>14934.5</v>
      </c>
    </row>
    <row r="22" spans="1:23" x14ac:dyDescent="0.25">
      <c r="A22" s="77"/>
      <c r="B22" s="87"/>
      <c r="C22" s="88"/>
      <c r="D22" s="64" t="s">
        <v>7</v>
      </c>
      <c r="E22" s="67">
        <v>0.5</v>
      </c>
      <c r="F22" s="65">
        <v>2</v>
      </c>
      <c r="G22" s="65">
        <v>12</v>
      </c>
      <c r="H22" s="65">
        <v>0</v>
      </c>
      <c r="I22" s="65">
        <v>12</v>
      </c>
      <c r="J22" s="65">
        <v>43</v>
      </c>
      <c r="K22" s="65">
        <v>0</v>
      </c>
      <c r="L22" s="65">
        <v>0</v>
      </c>
      <c r="M22" s="65">
        <v>1.5</v>
      </c>
      <c r="N22" s="65">
        <v>0</v>
      </c>
      <c r="O22" s="65">
        <v>2.5</v>
      </c>
      <c r="P22" s="65">
        <v>6</v>
      </c>
      <c r="Q22" s="65">
        <v>0</v>
      </c>
      <c r="R22" s="65">
        <v>10</v>
      </c>
      <c r="S22" s="65">
        <v>27</v>
      </c>
      <c r="T22" s="65">
        <v>1.5</v>
      </c>
      <c r="U22" s="65">
        <v>18</v>
      </c>
      <c r="V22" s="65">
        <v>74</v>
      </c>
      <c r="W22" s="65">
        <v>8701</v>
      </c>
    </row>
    <row r="23" spans="1:23" x14ac:dyDescent="0.25">
      <c r="A23" s="13"/>
      <c r="B23" s="85" t="s">
        <v>77</v>
      </c>
      <c r="C23" s="86"/>
      <c r="D23" s="73"/>
      <c r="E23" s="68">
        <v>263219.5</v>
      </c>
      <c r="F23" s="63">
        <v>31336</v>
      </c>
      <c r="G23" s="63">
        <v>153403</v>
      </c>
      <c r="H23" s="63">
        <v>37725</v>
      </c>
      <c r="I23" s="63">
        <v>66843</v>
      </c>
      <c r="J23" s="63">
        <v>143782</v>
      </c>
      <c r="K23" s="63">
        <v>37089</v>
      </c>
      <c r="L23" s="63">
        <v>8561</v>
      </c>
      <c r="M23" s="63">
        <v>29136.5</v>
      </c>
      <c r="N23" s="63">
        <v>5487</v>
      </c>
      <c r="O23" s="63">
        <v>11491.5</v>
      </c>
      <c r="P23" s="63">
        <v>24600</v>
      </c>
      <c r="Q23" s="63">
        <v>67039</v>
      </c>
      <c r="R23" s="63">
        <v>7773</v>
      </c>
      <c r="S23" s="63">
        <v>19211</v>
      </c>
      <c r="T23" s="63">
        <v>9380</v>
      </c>
      <c r="U23" s="63">
        <v>16087.5</v>
      </c>
      <c r="V23" s="63">
        <v>16102</v>
      </c>
      <c r="W23" s="13"/>
    </row>
  </sheetData>
  <mergeCells count="22">
    <mergeCell ref="W2:W4"/>
    <mergeCell ref="B23:D2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B8B2-B47E-42F8-88D3-913D10A8038C}">
  <dimension ref="A1:W23"/>
  <sheetViews>
    <sheetView showGridLines="0" workbookViewId="0">
      <selection activeCell="M40" sqref="M40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6.28515625" style="11" customWidth="1"/>
    <col min="5" max="22" width="9.140625" style="11"/>
    <col min="23" max="23" width="10.42578125" style="11" customWidth="1"/>
    <col min="24" max="16384" width="9.140625" style="11"/>
  </cols>
  <sheetData>
    <row r="1" spans="1:23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3" ht="16.5" thickTop="1" x14ac:dyDescent="0.25">
      <c r="B2" s="52" t="s">
        <v>80</v>
      </c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2" t="s">
        <v>3</v>
      </c>
      <c r="R2" s="70"/>
      <c r="S2" s="70"/>
      <c r="T2" s="70"/>
      <c r="U2" s="70"/>
      <c r="V2" s="71"/>
      <c r="W2" s="82" t="s">
        <v>78</v>
      </c>
    </row>
    <row r="3" spans="1:23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4"/>
      <c r="W3" s="83"/>
    </row>
    <row r="4" spans="1:23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7" t="s">
        <v>7</v>
      </c>
      <c r="W4" s="84"/>
    </row>
    <row r="5" spans="1:23" x14ac:dyDescent="0.25">
      <c r="A5" s="76" t="s">
        <v>12</v>
      </c>
      <c r="B5" s="79" t="s">
        <v>1</v>
      </c>
      <c r="C5" s="80" t="s">
        <v>4</v>
      </c>
      <c r="D5" s="19" t="s">
        <v>13</v>
      </c>
      <c r="E5" s="66">
        <v>100543</v>
      </c>
      <c r="F5" s="62">
        <v>32566</v>
      </c>
      <c r="G5" s="62">
        <v>4018</v>
      </c>
      <c r="H5" s="62">
        <v>53108.5</v>
      </c>
      <c r="I5" s="62">
        <v>33289.5</v>
      </c>
      <c r="J5" s="62">
        <v>1577.5</v>
      </c>
      <c r="K5" s="62">
        <v>1401</v>
      </c>
      <c r="L5" s="62">
        <v>323</v>
      </c>
      <c r="M5" s="62">
        <v>0</v>
      </c>
      <c r="N5" s="62">
        <v>1238</v>
      </c>
      <c r="O5" s="62">
        <v>0</v>
      </c>
      <c r="P5" s="62">
        <v>0</v>
      </c>
      <c r="Q5" s="62">
        <v>6605.5</v>
      </c>
      <c r="R5" s="62">
        <v>2504</v>
      </c>
      <c r="S5" s="62">
        <v>0</v>
      </c>
      <c r="T5" s="62">
        <v>3086.5</v>
      </c>
      <c r="U5" s="62">
        <v>2733</v>
      </c>
      <c r="V5" s="62">
        <v>54</v>
      </c>
      <c r="W5" s="62">
        <v>31488323.5</v>
      </c>
    </row>
    <row r="6" spans="1:23" x14ac:dyDescent="0.25">
      <c r="A6" s="77"/>
      <c r="B6" s="79"/>
      <c r="C6" s="80"/>
      <c r="D6" s="19" t="s">
        <v>14</v>
      </c>
      <c r="E6" s="67">
        <v>26816</v>
      </c>
      <c r="F6" s="65">
        <v>173264</v>
      </c>
      <c r="G6" s="65">
        <v>28479.5</v>
      </c>
      <c r="H6" s="65">
        <v>16488</v>
      </c>
      <c r="I6" s="65">
        <v>215954</v>
      </c>
      <c r="J6" s="65">
        <v>24106</v>
      </c>
      <c r="K6" s="65">
        <v>475</v>
      </c>
      <c r="L6" s="65">
        <v>1978</v>
      </c>
      <c r="M6" s="65">
        <v>197</v>
      </c>
      <c r="N6" s="65">
        <v>391</v>
      </c>
      <c r="O6" s="65">
        <v>1632.5</v>
      </c>
      <c r="P6" s="65">
        <v>1833.5</v>
      </c>
      <c r="Q6" s="65">
        <v>1960</v>
      </c>
      <c r="R6" s="65">
        <v>8755.5</v>
      </c>
      <c r="S6" s="65">
        <v>564.5</v>
      </c>
      <c r="T6" s="65">
        <v>547</v>
      </c>
      <c r="U6" s="65">
        <v>15427</v>
      </c>
      <c r="V6" s="65">
        <v>2881</v>
      </c>
      <c r="W6" s="65">
        <v>6309095.5</v>
      </c>
    </row>
    <row r="7" spans="1:23" x14ac:dyDescent="0.25">
      <c r="A7" s="77"/>
      <c r="B7" s="79"/>
      <c r="C7" s="80"/>
      <c r="D7" s="19" t="s">
        <v>15</v>
      </c>
      <c r="E7" s="67">
        <v>1851</v>
      </c>
      <c r="F7" s="65">
        <v>16492.5</v>
      </c>
      <c r="G7" s="65">
        <v>146606</v>
      </c>
      <c r="H7" s="65">
        <v>853</v>
      </c>
      <c r="I7" s="65">
        <v>18310.5</v>
      </c>
      <c r="J7" s="65">
        <v>126888.5</v>
      </c>
      <c r="K7" s="65">
        <v>0</v>
      </c>
      <c r="L7" s="65">
        <v>1009</v>
      </c>
      <c r="M7" s="65">
        <v>1164</v>
      </c>
      <c r="N7" s="65">
        <v>0</v>
      </c>
      <c r="O7" s="65">
        <v>450</v>
      </c>
      <c r="P7" s="65">
        <v>1197.5</v>
      </c>
      <c r="Q7" s="65">
        <v>398.5</v>
      </c>
      <c r="R7" s="65">
        <v>1926</v>
      </c>
      <c r="S7" s="65">
        <v>5746.5</v>
      </c>
      <c r="T7" s="65">
        <v>385</v>
      </c>
      <c r="U7" s="65">
        <v>3627</v>
      </c>
      <c r="V7" s="65">
        <v>7797</v>
      </c>
      <c r="W7" s="65">
        <v>9465767</v>
      </c>
    </row>
    <row r="8" spans="1:23" x14ac:dyDescent="0.25">
      <c r="A8" s="77"/>
      <c r="B8" s="79"/>
      <c r="C8" s="80" t="s">
        <v>5</v>
      </c>
      <c r="D8" s="21" t="s">
        <v>11</v>
      </c>
      <c r="E8" s="67">
        <v>33357.5</v>
      </c>
      <c r="F8" s="65">
        <v>9990</v>
      </c>
      <c r="G8" s="65">
        <v>794</v>
      </c>
      <c r="H8" s="65">
        <v>108136</v>
      </c>
      <c r="I8" s="65">
        <v>94968.5</v>
      </c>
      <c r="J8" s="65">
        <v>425</v>
      </c>
      <c r="K8" s="65">
        <v>0</v>
      </c>
      <c r="L8" s="65">
        <v>700</v>
      </c>
      <c r="M8" s="65">
        <v>0</v>
      </c>
      <c r="N8" s="65">
        <v>94</v>
      </c>
      <c r="O8" s="65">
        <v>869</v>
      </c>
      <c r="P8" s="65">
        <v>0</v>
      </c>
      <c r="Q8" s="65">
        <v>2283</v>
      </c>
      <c r="R8" s="65">
        <v>815</v>
      </c>
      <c r="S8" s="65">
        <v>194</v>
      </c>
      <c r="T8" s="65">
        <v>7244</v>
      </c>
      <c r="U8" s="65">
        <v>7257</v>
      </c>
      <c r="V8" s="65">
        <v>0</v>
      </c>
      <c r="W8" s="65">
        <v>5143308</v>
      </c>
    </row>
    <row r="9" spans="1:23" x14ac:dyDescent="0.25">
      <c r="A9" s="77"/>
      <c r="B9" s="79"/>
      <c r="C9" s="80"/>
      <c r="D9" s="21" t="s">
        <v>6</v>
      </c>
      <c r="E9" s="67">
        <v>14263.5</v>
      </c>
      <c r="F9" s="65">
        <v>101685</v>
      </c>
      <c r="G9" s="65">
        <v>15379.5</v>
      </c>
      <c r="H9" s="65">
        <v>26835.5</v>
      </c>
      <c r="I9" s="65">
        <v>806391</v>
      </c>
      <c r="J9" s="65">
        <v>66603.5</v>
      </c>
      <c r="K9" s="65">
        <v>245.5</v>
      </c>
      <c r="L9" s="65">
        <v>1166.5</v>
      </c>
      <c r="M9" s="65">
        <v>77.5</v>
      </c>
      <c r="N9" s="65">
        <v>319</v>
      </c>
      <c r="O9" s="65">
        <v>10476.5</v>
      </c>
      <c r="P9" s="65">
        <v>382.5</v>
      </c>
      <c r="Q9" s="65">
        <v>506</v>
      </c>
      <c r="R9" s="65">
        <v>7964</v>
      </c>
      <c r="S9" s="65">
        <v>1337</v>
      </c>
      <c r="T9" s="65">
        <v>3103</v>
      </c>
      <c r="U9" s="65">
        <v>70441.5</v>
      </c>
      <c r="V9" s="65">
        <v>6456</v>
      </c>
      <c r="W9" s="65">
        <v>7706180</v>
      </c>
    </row>
    <row r="10" spans="1:23" x14ac:dyDescent="0.25">
      <c r="A10" s="77"/>
      <c r="B10" s="79"/>
      <c r="C10" s="80"/>
      <c r="D10" s="21" t="s">
        <v>7</v>
      </c>
      <c r="E10" s="67">
        <v>28.5</v>
      </c>
      <c r="F10" s="65">
        <v>10902</v>
      </c>
      <c r="G10" s="65">
        <v>77329.5</v>
      </c>
      <c r="H10" s="65">
        <v>1657</v>
      </c>
      <c r="I10" s="65">
        <v>40211.5</v>
      </c>
      <c r="J10" s="65">
        <v>221153</v>
      </c>
      <c r="K10" s="65">
        <v>62</v>
      </c>
      <c r="L10" s="65">
        <v>242</v>
      </c>
      <c r="M10" s="65">
        <v>2190</v>
      </c>
      <c r="N10" s="65">
        <v>0</v>
      </c>
      <c r="O10" s="65">
        <v>730.5</v>
      </c>
      <c r="P10" s="65">
        <v>4667</v>
      </c>
      <c r="Q10" s="65">
        <v>122</v>
      </c>
      <c r="R10" s="65">
        <v>3261</v>
      </c>
      <c r="S10" s="65">
        <v>5533</v>
      </c>
      <c r="T10" s="65">
        <v>0</v>
      </c>
      <c r="U10" s="65">
        <v>4445.5</v>
      </c>
      <c r="V10" s="65">
        <v>17798</v>
      </c>
      <c r="W10" s="65">
        <v>8241526.5</v>
      </c>
    </row>
    <row r="11" spans="1:23" x14ac:dyDescent="0.25">
      <c r="A11" s="77"/>
      <c r="B11" s="79" t="s">
        <v>2</v>
      </c>
      <c r="C11" s="80" t="s">
        <v>4</v>
      </c>
      <c r="D11" s="21" t="s">
        <v>11</v>
      </c>
      <c r="E11" s="67">
        <v>2674</v>
      </c>
      <c r="F11" s="65">
        <v>1242</v>
      </c>
      <c r="G11" s="65">
        <v>0</v>
      </c>
      <c r="H11" s="65">
        <v>703</v>
      </c>
      <c r="I11" s="65">
        <v>1514.5</v>
      </c>
      <c r="J11" s="65">
        <v>1266</v>
      </c>
      <c r="K11" s="65">
        <v>4203</v>
      </c>
      <c r="L11" s="65">
        <v>2885.5</v>
      </c>
      <c r="M11" s="65">
        <v>430.5</v>
      </c>
      <c r="N11" s="65">
        <v>3926</v>
      </c>
      <c r="O11" s="65">
        <v>5281</v>
      </c>
      <c r="P11" s="65">
        <v>1276</v>
      </c>
      <c r="Q11" s="65">
        <v>401</v>
      </c>
      <c r="R11" s="65">
        <v>929</v>
      </c>
      <c r="S11" s="65">
        <v>0</v>
      </c>
      <c r="T11" s="65">
        <v>381</v>
      </c>
      <c r="U11" s="65">
        <v>504</v>
      </c>
      <c r="V11" s="65">
        <v>0</v>
      </c>
      <c r="W11" s="65">
        <v>6814630.5</v>
      </c>
    </row>
    <row r="12" spans="1:23" x14ac:dyDescent="0.25">
      <c r="A12" s="77"/>
      <c r="B12" s="79"/>
      <c r="C12" s="80"/>
      <c r="D12" s="21" t="s">
        <v>6</v>
      </c>
      <c r="E12" s="67">
        <v>679</v>
      </c>
      <c r="F12" s="65">
        <v>4000</v>
      </c>
      <c r="G12" s="65">
        <v>1418</v>
      </c>
      <c r="H12" s="65">
        <v>957</v>
      </c>
      <c r="I12" s="65">
        <v>3721.5</v>
      </c>
      <c r="J12" s="65">
        <v>692</v>
      </c>
      <c r="K12" s="65">
        <v>2469.5</v>
      </c>
      <c r="L12" s="65">
        <v>23935</v>
      </c>
      <c r="M12" s="65">
        <v>6529.5</v>
      </c>
      <c r="N12" s="65">
        <v>513</v>
      </c>
      <c r="O12" s="65">
        <v>26859</v>
      </c>
      <c r="P12" s="65">
        <v>8538</v>
      </c>
      <c r="Q12" s="65">
        <v>126</v>
      </c>
      <c r="R12" s="65">
        <v>1535</v>
      </c>
      <c r="S12" s="65">
        <v>434</v>
      </c>
      <c r="T12" s="65">
        <v>0</v>
      </c>
      <c r="U12" s="65">
        <v>1572</v>
      </c>
      <c r="V12" s="65">
        <v>46</v>
      </c>
      <c r="W12" s="65">
        <v>1942751.5</v>
      </c>
    </row>
    <row r="13" spans="1:23" x14ac:dyDescent="0.25">
      <c r="A13" s="77"/>
      <c r="B13" s="79"/>
      <c r="C13" s="80"/>
      <c r="D13" s="21" t="s">
        <v>7</v>
      </c>
      <c r="E13" s="67">
        <v>0</v>
      </c>
      <c r="F13" s="65">
        <v>450</v>
      </c>
      <c r="G13" s="65">
        <v>3149</v>
      </c>
      <c r="H13" s="65">
        <v>0</v>
      </c>
      <c r="I13" s="65">
        <v>994.5</v>
      </c>
      <c r="J13" s="65">
        <v>2863</v>
      </c>
      <c r="K13" s="65">
        <v>707.5</v>
      </c>
      <c r="L13" s="65">
        <v>2318.5</v>
      </c>
      <c r="M13" s="65">
        <v>30766</v>
      </c>
      <c r="N13" s="65">
        <v>215</v>
      </c>
      <c r="O13" s="65">
        <v>2872</v>
      </c>
      <c r="P13" s="65">
        <v>20790</v>
      </c>
      <c r="Q13" s="65">
        <v>0</v>
      </c>
      <c r="R13" s="65">
        <v>147</v>
      </c>
      <c r="S13" s="65">
        <v>732.5</v>
      </c>
      <c r="T13" s="65">
        <v>0</v>
      </c>
      <c r="U13" s="65">
        <v>0</v>
      </c>
      <c r="V13" s="65">
        <v>321.5</v>
      </c>
      <c r="W13" s="65">
        <v>2305836.5</v>
      </c>
    </row>
    <row r="14" spans="1:23" x14ac:dyDescent="0.25">
      <c r="A14" s="77"/>
      <c r="B14" s="79"/>
      <c r="C14" s="80" t="s">
        <v>5</v>
      </c>
      <c r="D14" s="21" t="s">
        <v>11</v>
      </c>
      <c r="E14" s="67">
        <v>1202</v>
      </c>
      <c r="F14" s="65">
        <v>0</v>
      </c>
      <c r="G14" s="65">
        <v>0</v>
      </c>
      <c r="H14" s="65">
        <v>1735</v>
      </c>
      <c r="I14" s="65">
        <v>1263</v>
      </c>
      <c r="J14" s="65">
        <v>0</v>
      </c>
      <c r="K14" s="65">
        <v>699</v>
      </c>
      <c r="L14" s="65">
        <v>570</v>
      </c>
      <c r="M14" s="65">
        <v>0</v>
      </c>
      <c r="N14" s="65">
        <v>3387</v>
      </c>
      <c r="O14" s="65">
        <v>5475</v>
      </c>
      <c r="P14" s="65">
        <v>0</v>
      </c>
      <c r="Q14" s="65">
        <v>137</v>
      </c>
      <c r="R14" s="65">
        <v>0</v>
      </c>
      <c r="S14" s="65">
        <v>0</v>
      </c>
      <c r="T14" s="65">
        <v>1001.5</v>
      </c>
      <c r="U14" s="65">
        <v>144</v>
      </c>
      <c r="V14" s="65">
        <v>0</v>
      </c>
      <c r="W14" s="65">
        <v>937314.5</v>
      </c>
    </row>
    <row r="15" spans="1:23" x14ac:dyDescent="0.25">
      <c r="A15" s="77"/>
      <c r="B15" s="79"/>
      <c r="C15" s="80"/>
      <c r="D15" s="21" t="s">
        <v>6</v>
      </c>
      <c r="E15" s="67">
        <v>243</v>
      </c>
      <c r="F15" s="65">
        <v>3642.5</v>
      </c>
      <c r="G15" s="65">
        <v>107</v>
      </c>
      <c r="H15" s="65">
        <v>1098</v>
      </c>
      <c r="I15" s="65">
        <v>18078.5</v>
      </c>
      <c r="J15" s="65">
        <v>1450.5</v>
      </c>
      <c r="K15" s="65">
        <v>2869</v>
      </c>
      <c r="L15" s="65">
        <v>13621</v>
      </c>
      <c r="M15" s="65">
        <v>1146</v>
      </c>
      <c r="N15" s="65">
        <v>390</v>
      </c>
      <c r="O15" s="65">
        <v>70614</v>
      </c>
      <c r="P15" s="65">
        <v>7287</v>
      </c>
      <c r="Q15" s="65">
        <v>0</v>
      </c>
      <c r="R15" s="65">
        <v>534</v>
      </c>
      <c r="S15" s="65">
        <v>0</v>
      </c>
      <c r="T15" s="65">
        <v>534</v>
      </c>
      <c r="U15" s="65">
        <v>9372.5</v>
      </c>
      <c r="V15" s="65">
        <v>492.5</v>
      </c>
      <c r="W15" s="65">
        <v>1506985.5</v>
      </c>
    </row>
    <row r="16" spans="1:23" x14ac:dyDescent="0.25">
      <c r="A16" s="77"/>
      <c r="B16" s="79"/>
      <c r="C16" s="80"/>
      <c r="D16" s="21" t="s">
        <v>7</v>
      </c>
      <c r="E16" s="67">
        <v>0</v>
      </c>
      <c r="F16" s="65">
        <v>1042.5</v>
      </c>
      <c r="G16" s="65">
        <v>1731.5</v>
      </c>
      <c r="H16" s="65">
        <v>0</v>
      </c>
      <c r="I16" s="65">
        <v>1238.5</v>
      </c>
      <c r="J16" s="65">
        <v>4586</v>
      </c>
      <c r="K16" s="65">
        <v>745</v>
      </c>
      <c r="L16" s="65">
        <v>2309</v>
      </c>
      <c r="M16" s="65">
        <v>10820</v>
      </c>
      <c r="N16" s="65">
        <v>210</v>
      </c>
      <c r="O16" s="65">
        <v>9820</v>
      </c>
      <c r="P16" s="65">
        <v>31044</v>
      </c>
      <c r="Q16" s="65">
        <v>0</v>
      </c>
      <c r="R16" s="65">
        <v>0</v>
      </c>
      <c r="S16" s="65">
        <v>396</v>
      </c>
      <c r="T16" s="65">
        <v>0</v>
      </c>
      <c r="U16" s="65">
        <v>262</v>
      </c>
      <c r="V16" s="65">
        <v>1920</v>
      </c>
      <c r="W16" s="65">
        <v>1354835.5</v>
      </c>
    </row>
    <row r="17" spans="1:23" x14ac:dyDescent="0.25">
      <c r="A17" s="77"/>
      <c r="B17" s="79" t="s">
        <v>3</v>
      </c>
      <c r="C17" s="80" t="s">
        <v>4</v>
      </c>
      <c r="D17" s="21" t="s">
        <v>11</v>
      </c>
      <c r="E17" s="67">
        <v>6259.5</v>
      </c>
      <c r="F17" s="65">
        <v>2287</v>
      </c>
      <c r="G17" s="65">
        <v>49.5</v>
      </c>
      <c r="H17" s="65">
        <v>4341</v>
      </c>
      <c r="I17" s="65">
        <v>1874</v>
      </c>
      <c r="J17" s="65">
        <v>0</v>
      </c>
      <c r="K17" s="65">
        <v>374</v>
      </c>
      <c r="L17" s="65">
        <v>1203</v>
      </c>
      <c r="M17" s="65">
        <v>0</v>
      </c>
      <c r="N17" s="65">
        <v>794</v>
      </c>
      <c r="O17" s="65">
        <v>0</v>
      </c>
      <c r="P17" s="65">
        <v>0</v>
      </c>
      <c r="Q17" s="65">
        <v>15335</v>
      </c>
      <c r="R17" s="65">
        <v>7132</v>
      </c>
      <c r="S17" s="65">
        <v>968</v>
      </c>
      <c r="T17" s="65">
        <v>5477</v>
      </c>
      <c r="U17" s="65">
        <v>4571.5</v>
      </c>
      <c r="V17" s="65">
        <v>657</v>
      </c>
      <c r="W17" s="65">
        <v>8849542.5</v>
      </c>
    </row>
    <row r="18" spans="1:23" x14ac:dyDescent="0.25">
      <c r="A18" s="77"/>
      <c r="B18" s="79"/>
      <c r="C18" s="80"/>
      <c r="D18" s="21" t="s">
        <v>6</v>
      </c>
      <c r="E18" s="67">
        <v>467</v>
      </c>
      <c r="F18" s="65">
        <v>9710.5</v>
      </c>
      <c r="G18" s="65">
        <v>833</v>
      </c>
      <c r="H18" s="65">
        <v>269</v>
      </c>
      <c r="I18" s="65">
        <v>14340</v>
      </c>
      <c r="J18" s="65">
        <v>1574</v>
      </c>
      <c r="K18" s="65">
        <v>0</v>
      </c>
      <c r="L18" s="65">
        <v>992</v>
      </c>
      <c r="M18" s="65">
        <v>439</v>
      </c>
      <c r="N18" s="65">
        <v>120</v>
      </c>
      <c r="O18" s="65">
        <v>1239</v>
      </c>
      <c r="P18" s="65">
        <v>0</v>
      </c>
      <c r="Q18" s="65">
        <v>4087</v>
      </c>
      <c r="R18" s="65">
        <v>42827</v>
      </c>
      <c r="S18" s="65">
        <v>10092.5</v>
      </c>
      <c r="T18" s="65">
        <v>3322</v>
      </c>
      <c r="U18" s="65">
        <v>29901</v>
      </c>
      <c r="V18" s="65">
        <v>4429.5</v>
      </c>
      <c r="W18" s="65">
        <v>1658840.5</v>
      </c>
    </row>
    <row r="19" spans="1:23" x14ac:dyDescent="0.25">
      <c r="A19" s="77"/>
      <c r="B19" s="79"/>
      <c r="C19" s="80"/>
      <c r="D19" s="21" t="s">
        <v>7</v>
      </c>
      <c r="E19" s="67">
        <v>0</v>
      </c>
      <c r="F19" s="65">
        <v>764.5</v>
      </c>
      <c r="G19" s="65">
        <v>2538.5</v>
      </c>
      <c r="H19" s="65">
        <v>0</v>
      </c>
      <c r="I19" s="65">
        <v>979</v>
      </c>
      <c r="J19" s="65">
        <v>4733</v>
      </c>
      <c r="K19" s="65">
        <v>239</v>
      </c>
      <c r="L19" s="65">
        <v>57</v>
      </c>
      <c r="M19" s="65">
        <v>675.5</v>
      </c>
      <c r="N19" s="65">
        <v>0</v>
      </c>
      <c r="O19" s="65">
        <v>136</v>
      </c>
      <c r="P19" s="65">
        <v>581</v>
      </c>
      <c r="Q19" s="65">
        <v>453</v>
      </c>
      <c r="R19" s="65">
        <v>2927.5</v>
      </c>
      <c r="S19" s="65">
        <v>22335</v>
      </c>
      <c r="T19" s="65">
        <v>214</v>
      </c>
      <c r="U19" s="65">
        <v>1607</v>
      </c>
      <c r="V19" s="65">
        <v>6455</v>
      </c>
      <c r="W19" s="65">
        <v>1301549</v>
      </c>
    </row>
    <row r="20" spans="1:23" x14ac:dyDescent="0.25">
      <c r="A20" s="77"/>
      <c r="B20" s="79"/>
      <c r="C20" s="80" t="s">
        <v>5</v>
      </c>
      <c r="D20" s="21" t="s">
        <v>11</v>
      </c>
      <c r="E20" s="67">
        <v>1640.5</v>
      </c>
      <c r="F20" s="65">
        <v>54</v>
      </c>
      <c r="G20" s="65">
        <v>61</v>
      </c>
      <c r="H20" s="65">
        <v>5279</v>
      </c>
      <c r="I20" s="65">
        <v>4330</v>
      </c>
      <c r="J20" s="65">
        <v>94</v>
      </c>
      <c r="K20" s="65">
        <v>0</v>
      </c>
      <c r="L20" s="65">
        <v>0</v>
      </c>
      <c r="M20" s="65">
        <v>0</v>
      </c>
      <c r="N20" s="65">
        <v>226.5</v>
      </c>
      <c r="O20" s="65">
        <v>629</v>
      </c>
      <c r="P20" s="65">
        <v>0</v>
      </c>
      <c r="Q20" s="65">
        <v>3706</v>
      </c>
      <c r="R20" s="65">
        <v>1182</v>
      </c>
      <c r="S20" s="65">
        <v>1244</v>
      </c>
      <c r="T20" s="65">
        <v>6488</v>
      </c>
      <c r="U20" s="65">
        <v>6145.5</v>
      </c>
      <c r="V20" s="65">
        <v>1184.5</v>
      </c>
      <c r="W20" s="65">
        <v>1374177</v>
      </c>
    </row>
    <row r="21" spans="1:23" x14ac:dyDescent="0.25">
      <c r="A21" s="77"/>
      <c r="B21" s="79"/>
      <c r="C21" s="80"/>
      <c r="D21" s="21" t="s">
        <v>6</v>
      </c>
      <c r="E21" s="67">
        <v>1203</v>
      </c>
      <c r="F21" s="65">
        <v>5394</v>
      </c>
      <c r="G21" s="65">
        <v>608</v>
      </c>
      <c r="H21" s="65">
        <v>1183</v>
      </c>
      <c r="I21" s="65">
        <v>49618.5</v>
      </c>
      <c r="J21" s="65">
        <v>5881.5</v>
      </c>
      <c r="K21" s="65">
        <v>0</v>
      </c>
      <c r="L21" s="65">
        <v>961</v>
      </c>
      <c r="M21" s="65">
        <v>0</v>
      </c>
      <c r="N21" s="65">
        <v>0</v>
      </c>
      <c r="O21" s="65">
        <v>3474.5</v>
      </c>
      <c r="P21" s="65">
        <v>535</v>
      </c>
      <c r="Q21" s="65">
        <v>2033.5</v>
      </c>
      <c r="R21" s="65">
        <v>15219</v>
      </c>
      <c r="S21" s="65">
        <v>3377</v>
      </c>
      <c r="T21" s="65">
        <v>5032.5</v>
      </c>
      <c r="U21" s="65">
        <v>133318</v>
      </c>
      <c r="V21" s="65">
        <v>6574</v>
      </c>
      <c r="W21" s="65">
        <v>1963181.5</v>
      </c>
    </row>
    <row r="22" spans="1:23" x14ac:dyDescent="0.25">
      <c r="A22" s="77"/>
      <c r="B22" s="87"/>
      <c r="C22" s="88"/>
      <c r="D22" s="64" t="s">
        <v>7</v>
      </c>
      <c r="E22" s="67">
        <v>54</v>
      </c>
      <c r="F22" s="65">
        <v>273</v>
      </c>
      <c r="G22" s="65">
        <v>1922</v>
      </c>
      <c r="H22" s="65">
        <v>0</v>
      </c>
      <c r="I22" s="65">
        <v>2138</v>
      </c>
      <c r="J22" s="65">
        <v>5933</v>
      </c>
      <c r="K22" s="65">
        <v>0</v>
      </c>
      <c r="L22" s="65">
        <v>0</v>
      </c>
      <c r="M22" s="65">
        <v>137.5</v>
      </c>
      <c r="N22" s="65">
        <v>0</v>
      </c>
      <c r="O22" s="65">
        <v>381.5</v>
      </c>
      <c r="P22" s="65">
        <v>723</v>
      </c>
      <c r="Q22" s="65">
        <v>0</v>
      </c>
      <c r="R22" s="65">
        <v>2254.5</v>
      </c>
      <c r="S22" s="65">
        <v>3948</v>
      </c>
      <c r="T22" s="65">
        <v>312.5</v>
      </c>
      <c r="U22" s="65">
        <v>3808</v>
      </c>
      <c r="V22" s="65">
        <v>14349</v>
      </c>
      <c r="W22" s="65">
        <v>931472</v>
      </c>
    </row>
    <row r="23" spans="1:23" x14ac:dyDescent="0.25">
      <c r="A23" s="13"/>
      <c r="B23" s="85" t="s">
        <v>77</v>
      </c>
      <c r="C23" s="86"/>
      <c r="D23" s="73"/>
      <c r="E23" s="68">
        <v>27829972.5</v>
      </c>
      <c r="F23" s="63">
        <v>3946280.5</v>
      </c>
      <c r="G23" s="63">
        <v>13667807</v>
      </c>
      <c r="H23" s="63">
        <v>4128101</v>
      </c>
      <c r="I23" s="63">
        <v>8117451</v>
      </c>
      <c r="J23" s="63">
        <v>13371192.5</v>
      </c>
      <c r="K23" s="63">
        <v>6026888.5</v>
      </c>
      <c r="L23" s="63">
        <v>1479165.5</v>
      </c>
      <c r="M23" s="63">
        <v>3425586.5</v>
      </c>
      <c r="N23" s="63">
        <v>800690.5</v>
      </c>
      <c r="O23" s="63">
        <v>2088541.5</v>
      </c>
      <c r="P23" s="63">
        <v>3115338.5</v>
      </c>
      <c r="Q23" s="63">
        <v>7987545.5</v>
      </c>
      <c r="R23" s="63">
        <v>1068426.5</v>
      </c>
      <c r="S23" s="63">
        <v>2200664</v>
      </c>
      <c r="T23" s="63">
        <v>1076913</v>
      </c>
      <c r="U23" s="63">
        <v>2107007.5</v>
      </c>
      <c r="V23" s="63">
        <v>1742800</v>
      </c>
      <c r="W23" s="61"/>
    </row>
  </sheetData>
  <mergeCells count="22">
    <mergeCell ref="C20:C22"/>
    <mergeCell ref="B23:D23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E1:V1"/>
    <mergeCell ref="E2:J2"/>
    <mergeCell ref="K2:P2"/>
    <mergeCell ref="Q2:V2"/>
    <mergeCell ref="W2:W4"/>
    <mergeCell ref="E3:G3"/>
    <mergeCell ref="H3:J3"/>
    <mergeCell ref="K3:M3"/>
    <mergeCell ref="N3:P3"/>
    <mergeCell ref="Q3:S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50C2-68D4-4373-8928-E4443F50B20B}">
  <dimension ref="A1:W23"/>
  <sheetViews>
    <sheetView showGridLines="0" workbookViewId="0">
      <selection activeCell="B3" sqref="B3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6.28515625" style="11" customWidth="1"/>
    <col min="5" max="22" width="9.140625" style="11"/>
    <col min="23" max="23" width="10.5703125" style="11" customWidth="1"/>
    <col min="24" max="16384" width="9.140625" style="11"/>
  </cols>
  <sheetData>
    <row r="1" spans="1:23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3" ht="16.5" thickTop="1" x14ac:dyDescent="0.25">
      <c r="B2" s="52" t="s">
        <v>81</v>
      </c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2" t="s">
        <v>3</v>
      </c>
      <c r="R2" s="70"/>
      <c r="S2" s="70"/>
      <c r="T2" s="70"/>
      <c r="U2" s="70"/>
      <c r="V2" s="71"/>
      <c r="W2" s="82" t="s">
        <v>78</v>
      </c>
    </row>
    <row r="3" spans="1:23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4"/>
      <c r="W3" s="83"/>
    </row>
    <row r="4" spans="1:23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7" t="s">
        <v>7</v>
      </c>
      <c r="W4" s="84"/>
    </row>
    <row r="5" spans="1:23" x14ac:dyDescent="0.25">
      <c r="A5" s="76" t="s">
        <v>12</v>
      </c>
      <c r="B5" s="79" t="s">
        <v>1</v>
      </c>
      <c r="C5" s="80" t="s">
        <v>4</v>
      </c>
      <c r="D5" s="19" t="s">
        <v>13</v>
      </c>
      <c r="E5" s="66">
        <v>711</v>
      </c>
      <c r="F5" s="62">
        <v>211</v>
      </c>
      <c r="G5" s="62">
        <v>309</v>
      </c>
      <c r="H5" s="62">
        <v>180</v>
      </c>
      <c r="I5" s="62">
        <v>4</v>
      </c>
      <c r="J5" s="62">
        <v>0</v>
      </c>
      <c r="K5" s="62">
        <v>2</v>
      </c>
      <c r="L5" s="62">
        <v>0</v>
      </c>
      <c r="M5" s="62">
        <v>1</v>
      </c>
      <c r="N5" s="62">
        <v>4</v>
      </c>
      <c r="O5" s="62">
        <v>0</v>
      </c>
      <c r="P5" s="62">
        <v>0</v>
      </c>
      <c r="Q5" s="62">
        <v>30</v>
      </c>
      <c r="R5" s="62">
        <v>6</v>
      </c>
      <c r="S5" s="62">
        <v>13</v>
      </c>
      <c r="T5" s="62">
        <v>9</v>
      </c>
      <c r="U5" s="62">
        <v>0</v>
      </c>
      <c r="V5" s="62">
        <v>0</v>
      </c>
      <c r="W5" s="62">
        <v>314717</v>
      </c>
    </row>
    <row r="6" spans="1:23" x14ac:dyDescent="0.25">
      <c r="A6" s="77"/>
      <c r="B6" s="79"/>
      <c r="C6" s="80"/>
      <c r="D6" s="19" t="s">
        <v>14</v>
      </c>
      <c r="E6" s="67">
        <v>217</v>
      </c>
      <c r="F6" s="65">
        <v>928</v>
      </c>
      <c r="G6" s="65">
        <v>324</v>
      </c>
      <c r="H6" s="65">
        <v>1020</v>
      </c>
      <c r="I6" s="65">
        <v>164</v>
      </c>
      <c r="J6" s="65">
        <v>0</v>
      </c>
      <c r="K6" s="65">
        <v>2</v>
      </c>
      <c r="L6" s="65">
        <v>5</v>
      </c>
      <c r="M6" s="65">
        <v>0</v>
      </c>
      <c r="N6" s="65">
        <v>6</v>
      </c>
      <c r="O6" s="65">
        <v>3</v>
      </c>
      <c r="P6" s="65">
        <v>0</v>
      </c>
      <c r="Q6" s="65">
        <v>10</v>
      </c>
      <c r="R6" s="65">
        <v>29</v>
      </c>
      <c r="S6" s="65">
        <v>11</v>
      </c>
      <c r="T6" s="65">
        <v>52</v>
      </c>
      <c r="U6" s="65">
        <v>4</v>
      </c>
      <c r="V6" s="65">
        <v>0</v>
      </c>
      <c r="W6" s="65">
        <v>46981</v>
      </c>
    </row>
    <row r="7" spans="1:23" x14ac:dyDescent="0.25">
      <c r="A7" s="77"/>
      <c r="B7" s="79"/>
      <c r="C7" s="80"/>
      <c r="D7" s="19" t="s">
        <v>15</v>
      </c>
      <c r="E7" s="67">
        <v>186</v>
      </c>
      <c r="F7" s="65">
        <v>183</v>
      </c>
      <c r="G7" s="65">
        <v>1436</v>
      </c>
      <c r="H7" s="65">
        <v>648.5</v>
      </c>
      <c r="I7" s="65">
        <v>525</v>
      </c>
      <c r="J7" s="65">
        <v>1</v>
      </c>
      <c r="K7" s="65">
        <v>2</v>
      </c>
      <c r="L7" s="65">
        <v>0</v>
      </c>
      <c r="M7" s="65">
        <v>9</v>
      </c>
      <c r="N7" s="65">
        <v>4</v>
      </c>
      <c r="O7" s="65">
        <v>3</v>
      </c>
      <c r="P7" s="65">
        <v>0</v>
      </c>
      <c r="Q7" s="65">
        <v>9</v>
      </c>
      <c r="R7" s="65">
        <v>20</v>
      </c>
      <c r="S7" s="65">
        <v>48</v>
      </c>
      <c r="T7" s="65">
        <v>46</v>
      </c>
      <c r="U7" s="65">
        <v>28</v>
      </c>
      <c r="V7" s="65">
        <v>0</v>
      </c>
      <c r="W7" s="65">
        <v>88710.5</v>
      </c>
    </row>
    <row r="8" spans="1:23" x14ac:dyDescent="0.25">
      <c r="A8" s="77"/>
      <c r="B8" s="79"/>
      <c r="C8" s="80" t="s">
        <v>5</v>
      </c>
      <c r="D8" s="21" t="s">
        <v>11</v>
      </c>
      <c r="E8" s="67">
        <v>80</v>
      </c>
      <c r="F8" s="65">
        <v>437</v>
      </c>
      <c r="G8" s="65">
        <v>315.5</v>
      </c>
      <c r="H8" s="65">
        <v>3372</v>
      </c>
      <c r="I8" s="65">
        <v>276.5</v>
      </c>
      <c r="J8" s="65">
        <v>1</v>
      </c>
      <c r="K8" s="65">
        <v>0</v>
      </c>
      <c r="L8" s="65">
        <v>3</v>
      </c>
      <c r="M8" s="65">
        <v>2</v>
      </c>
      <c r="N8" s="65">
        <v>18</v>
      </c>
      <c r="O8" s="65">
        <v>2</v>
      </c>
      <c r="P8" s="65">
        <v>0</v>
      </c>
      <c r="Q8" s="65">
        <v>6</v>
      </c>
      <c r="R8" s="65">
        <v>26</v>
      </c>
      <c r="S8" s="65">
        <v>11</v>
      </c>
      <c r="T8" s="65">
        <v>216</v>
      </c>
      <c r="U8" s="65">
        <v>16</v>
      </c>
      <c r="V8" s="65">
        <v>0</v>
      </c>
      <c r="W8" s="65">
        <v>44731</v>
      </c>
    </row>
    <row r="9" spans="1:23" x14ac:dyDescent="0.25">
      <c r="A9" s="77"/>
      <c r="B9" s="79"/>
      <c r="C9" s="80"/>
      <c r="D9" s="21" t="s">
        <v>6</v>
      </c>
      <c r="E9" s="67">
        <v>5</v>
      </c>
      <c r="F9" s="65">
        <v>63</v>
      </c>
      <c r="G9" s="65">
        <v>450</v>
      </c>
      <c r="H9" s="65">
        <v>214.5</v>
      </c>
      <c r="I9" s="65">
        <v>1006</v>
      </c>
      <c r="J9" s="65">
        <v>1</v>
      </c>
      <c r="K9" s="65">
        <v>0</v>
      </c>
      <c r="L9" s="65">
        <v>2</v>
      </c>
      <c r="M9" s="65">
        <v>4</v>
      </c>
      <c r="N9" s="65">
        <v>4</v>
      </c>
      <c r="O9" s="65">
        <v>5</v>
      </c>
      <c r="P9" s="65">
        <v>0</v>
      </c>
      <c r="Q9" s="65">
        <v>2</v>
      </c>
      <c r="R9" s="65">
        <v>13</v>
      </c>
      <c r="S9" s="65">
        <v>23</v>
      </c>
      <c r="T9" s="65">
        <v>33</v>
      </c>
      <c r="U9" s="65">
        <v>59.5</v>
      </c>
      <c r="V9" s="65">
        <v>0</v>
      </c>
      <c r="W9" s="65">
        <v>45046</v>
      </c>
    </row>
    <row r="10" spans="1:23" x14ac:dyDescent="0.25">
      <c r="A10" s="77"/>
      <c r="B10" s="79"/>
      <c r="C10" s="80"/>
      <c r="D10" s="21" t="s">
        <v>7</v>
      </c>
      <c r="E10" s="67">
        <v>0</v>
      </c>
      <c r="F10" s="65">
        <v>0</v>
      </c>
      <c r="G10" s="65">
        <v>1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67112</v>
      </c>
    </row>
    <row r="11" spans="1:23" x14ac:dyDescent="0.25">
      <c r="A11" s="77"/>
      <c r="B11" s="79" t="s">
        <v>2</v>
      </c>
      <c r="C11" s="80" t="s">
        <v>4</v>
      </c>
      <c r="D11" s="21" t="s">
        <v>11</v>
      </c>
      <c r="E11" s="67">
        <v>8</v>
      </c>
      <c r="F11" s="65">
        <v>0</v>
      </c>
      <c r="G11" s="65">
        <v>3</v>
      </c>
      <c r="H11" s="65">
        <v>4</v>
      </c>
      <c r="I11" s="65">
        <v>0</v>
      </c>
      <c r="J11" s="65">
        <v>0</v>
      </c>
      <c r="K11" s="65">
        <v>41</v>
      </c>
      <c r="L11" s="65">
        <v>15</v>
      </c>
      <c r="M11" s="65">
        <v>21</v>
      </c>
      <c r="N11" s="65">
        <v>17</v>
      </c>
      <c r="O11" s="65">
        <v>0</v>
      </c>
      <c r="P11" s="65">
        <v>0</v>
      </c>
      <c r="Q11" s="65">
        <v>8</v>
      </c>
      <c r="R11" s="65">
        <v>3</v>
      </c>
      <c r="S11" s="65">
        <v>0</v>
      </c>
      <c r="T11" s="65">
        <v>2</v>
      </c>
      <c r="U11" s="65">
        <v>1</v>
      </c>
      <c r="V11" s="65">
        <v>0</v>
      </c>
      <c r="W11" s="65">
        <v>55360</v>
      </c>
    </row>
    <row r="12" spans="1:23" x14ac:dyDescent="0.25">
      <c r="A12" s="77"/>
      <c r="B12" s="79"/>
      <c r="C12" s="80"/>
      <c r="D12" s="21" t="s">
        <v>6</v>
      </c>
      <c r="E12" s="67">
        <v>6</v>
      </c>
      <c r="F12" s="65">
        <v>25</v>
      </c>
      <c r="G12" s="65">
        <v>7</v>
      </c>
      <c r="H12" s="65">
        <v>29</v>
      </c>
      <c r="I12" s="65">
        <v>5</v>
      </c>
      <c r="J12" s="65">
        <v>0</v>
      </c>
      <c r="K12" s="65">
        <v>10</v>
      </c>
      <c r="L12" s="65">
        <v>94</v>
      </c>
      <c r="M12" s="65">
        <v>29</v>
      </c>
      <c r="N12" s="65">
        <v>102</v>
      </c>
      <c r="O12" s="65">
        <v>30</v>
      </c>
      <c r="P12" s="65">
        <v>0</v>
      </c>
      <c r="Q12" s="65">
        <v>1</v>
      </c>
      <c r="R12" s="65">
        <v>8</v>
      </c>
      <c r="S12" s="65">
        <v>2</v>
      </c>
      <c r="T12" s="65">
        <v>5</v>
      </c>
      <c r="U12" s="65">
        <v>0</v>
      </c>
      <c r="V12" s="65">
        <v>0</v>
      </c>
      <c r="W12" s="65">
        <v>12467</v>
      </c>
    </row>
    <row r="13" spans="1:23" x14ac:dyDescent="0.25">
      <c r="A13" s="77"/>
      <c r="B13" s="79"/>
      <c r="C13" s="80"/>
      <c r="D13" s="21" t="s">
        <v>7</v>
      </c>
      <c r="E13" s="67">
        <v>3</v>
      </c>
      <c r="F13" s="65">
        <v>10</v>
      </c>
      <c r="G13" s="65">
        <v>15</v>
      </c>
      <c r="H13" s="65">
        <v>9</v>
      </c>
      <c r="I13" s="65">
        <v>10</v>
      </c>
      <c r="J13" s="65">
        <v>0</v>
      </c>
      <c r="K13" s="65">
        <v>14</v>
      </c>
      <c r="L13" s="65">
        <v>28</v>
      </c>
      <c r="M13" s="65">
        <v>186</v>
      </c>
      <c r="N13" s="65">
        <v>42</v>
      </c>
      <c r="O13" s="65">
        <v>89.5</v>
      </c>
      <c r="P13" s="65">
        <v>0</v>
      </c>
      <c r="Q13" s="65">
        <v>1</v>
      </c>
      <c r="R13" s="65">
        <v>2</v>
      </c>
      <c r="S13" s="65">
        <v>5</v>
      </c>
      <c r="T13" s="65">
        <v>0</v>
      </c>
      <c r="U13" s="65">
        <v>2</v>
      </c>
      <c r="V13" s="65">
        <v>0</v>
      </c>
      <c r="W13" s="65">
        <v>17673.5</v>
      </c>
    </row>
    <row r="14" spans="1:23" x14ac:dyDescent="0.25">
      <c r="A14" s="77"/>
      <c r="B14" s="79"/>
      <c r="C14" s="80" t="s">
        <v>5</v>
      </c>
      <c r="D14" s="21" t="s">
        <v>11</v>
      </c>
      <c r="E14" s="67">
        <v>2</v>
      </c>
      <c r="F14" s="65">
        <v>20</v>
      </c>
      <c r="G14" s="65">
        <v>3</v>
      </c>
      <c r="H14" s="65">
        <v>66</v>
      </c>
      <c r="I14" s="65">
        <v>8</v>
      </c>
      <c r="J14" s="65">
        <v>0</v>
      </c>
      <c r="K14" s="65">
        <v>5</v>
      </c>
      <c r="L14" s="65">
        <v>31</v>
      </c>
      <c r="M14" s="65">
        <v>14</v>
      </c>
      <c r="N14" s="65">
        <v>197</v>
      </c>
      <c r="O14" s="65">
        <v>28</v>
      </c>
      <c r="P14" s="65">
        <v>0</v>
      </c>
      <c r="Q14" s="65">
        <v>1</v>
      </c>
      <c r="R14" s="65">
        <v>9</v>
      </c>
      <c r="S14" s="65">
        <v>2</v>
      </c>
      <c r="T14" s="65">
        <v>16</v>
      </c>
      <c r="U14" s="65">
        <v>0</v>
      </c>
      <c r="V14" s="65">
        <v>0</v>
      </c>
      <c r="W14" s="65">
        <v>5436</v>
      </c>
    </row>
    <row r="15" spans="1:23" x14ac:dyDescent="0.25">
      <c r="A15" s="77"/>
      <c r="B15" s="79"/>
      <c r="C15" s="80"/>
      <c r="D15" s="21" t="s">
        <v>6</v>
      </c>
      <c r="E15" s="67">
        <v>0</v>
      </c>
      <c r="F15" s="65">
        <v>3</v>
      </c>
      <c r="G15" s="65">
        <v>5</v>
      </c>
      <c r="H15" s="65">
        <v>11</v>
      </c>
      <c r="I15" s="65">
        <v>12</v>
      </c>
      <c r="J15" s="65">
        <v>0</v>
      </c>
      <c r="K15" s="65">
        <v>1</v>
      </c>
      <c r="L15" s="65">
        <v>10</v>
      </c>
      <c r="M15" s="65">
        <v>51.5</v>
      </c>
      <c r="N15" s="65">
        <v>30</v>
      </c>
      <c r="O15" s="65">
        <v>92</v>
      </c>
      <c r="P15" s="65">
        <v>0</v>
      </c>
      <c r="Q15" s="65">
        <v>0</v>
      </c>
      <c r="R15" s="65">
        <v>1</v>
      </c>
      <c r="S15" s="65">
        <v>3.5</v>
      </c>
      <c r="T15" s="65">
        <v>2</v>
      </c>
      <c r="U15" s="65">
        <v>4</v>
      </c>
      <c r="V15" s="65">
        <v>0</v>
      </c>
      <c r="W15" s="65">
        <v>6707</v>
      </c>
    </row>
    <row r="16" spans="1:23" x14ac:dyDescent="0.25">
      <c r="A16" s="77"/>
      <c r="B16" s="79"/>
      <c r="C16" s="80"/>
      <c r="D16" s="21" t="s">
        <v>7</v>
      </c>
      <c r="E16" s="67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7669</v>
      </c>
    </row>
    <row r="17" spans="1:23" x14ac:dyDescent="0.25">
      <c r="A17" s="77"/>
      <c r="B17" s="79" t="s">
        <v>3</v>
      </c>
      <c r="C17" s="80" t="s">
        <v>4</v>
      </c>
      <c r="D17" s="21" t="s">
        <v>11</v>
      </c>
      <c r="E17" s="67">
        <v>28</v>
      </c>
      <c r="F17" s="65">
        <v>19</v>
      </c>
      <c r="G17" s="65">
        <v>12</v>
      </c>
      <c r="H17" s="65">
        <v>13</v>
      </c>
      <c r="I17" s="65">
        <v>2</v>
      </c>
      <c r="J17" s="65">
        <v>0</v>
      </c>
      <c r="K17" s="65">
        <v>2</v>
      </c>
      <c r="L17" s="65">
        <v>1</v>
      </c>
      <c r="M17" s="65">
        <v>1</v>
      </c>
      <c r="N17" s="65">
        <v>2</v>
      </c>
      <c r="O17" s="65">
        <v>0</v>
      </c>
      <c r="P17" s="65">
        <v>0</v>
      </c>
      <c r="Q17" s="65">
        <v>111</v>
      </c>
      <c r="R17" s="65">
        <v>33</v>
      </c>
      <c r="S17" s="65">
        <v>27</v>
      </c>
      <c r="T17" s="65">
        <v>13</v>
      </c>
      <c r="U17" s="65">
        <v>3</v>
      </c>
      <c r="V17" s="65">
        <v>0</v>
      </c>
      <c r="W17" s="65">
        <v>70372</v>
      </c>
    </row>
    <row r="18" spans="1:23" x14ac:dyDescent="0.25">
      <c r="A18" s="77"/>
      <c r="B18" s="79"/>
      <c r="C18" s="80"/>
      <c r="D18" s="21" t="s">
        <v>6</v>
      </c>
      <c r="E18" s="67">
        <v>6</v>
      </c>
      <c r="F18" s="65">
        <v>43</v>
      </c>
      <c r="G18" s="65">
        <v>11</v>
      </c>
      <c r="H18" s="65">
        <v>51</v>
      </c>
      <c r="I18" s="65">
        <v>9</v>
      </c>
      <c r="J18" s="65">
        <v>0</v>
      </c>
      <c r="K18" s="65">
        <v>0</v>
      </c>
      <c r="L18" s="65">
        <v>2</v>
      </c>
      <c r="M18" s="65">
        <v>3</v>
      </c>
      <c r="N18" s="65">
        <v>4</v>
      </c>
      <c r="O18" s="65">
        <v>0</v>
      </c>
      <c r="P18" s="65">
        <v>0</v>
      </c>
      <c r="Q18" s="65">
        <v>41</v>
      </c>
      <c r="R18" s="65">
        <v>165</v>
      </c>
      <c r="S18" s="65">
        <v>42.5</v>
      </c>
      <c r="T18" s="65">
        <v>86</v>
      </c>
      <c r="U18" s="65">
        <v>10</v>
      </c>
      <c r="V18" s="65">
        <v>0</v>
      </c>
      <c r="W18" s="65">
        <v>10147.5</v>
      </c>
    </row>
    <row r="19" spans="1:23" x14ac:dyDescent="0.25">
      <c r="A19" s="77"/>
      <c r="B19" s="79"/>
      <c r="C19" s="80"/>
      <c r="D19" s="21" t="s">
        <v>7</v>
      </c>
      <c r="E19" s="67">
        <v>8</v>
      </c>
      <c r="F19" s="65">
        <v>7</v>
      </c>
      <c r="G19" s="65">
        <v>44</v>
      </c>
      <c r="H19" s="65">
        <v>21</v>
      </c>
      <c r="I19" s="65">
        <v>16</v>
      </c>
      <c r="J19" s="65">
        <v>0</v>
      </c>
      <c r="K19" s="65">
        <v>1</v>
      </c>
      <c r="L19" s="65">
        <v>2</v>
      </c>
      <c r="M19" s="65">
        <v>6</v>
      </c>
      <c r="N19" s="65">
        <v>5</v>
      </c>
      <c r="O19" s="65">
        <v>4.5</v>
      </c>
      <c r="P19" s="65">
        <v>0</v>
      </c>
      <c r="Q19" s="65">
        <v>26</v>
      </c>
      <c r="R19" s="65">
        <v>28.5</v>
      </c>
      <c r="S19" s="65">
        <v>97</v>
      </c>
      <c r="T19" s="65">
        <v>45</v>
      </c>
      <c r="U19" s="65">
        <v>34</v>
      </c>
      <c r="V19" s="65">
        <v>0</v>
      </c>
      <c r="W19" s="65">
        <v>8566</v>
      </c>
    </row>
    <row r="20" spans="1:23" x14ac:dyDescent="0.25">
      <c r="A20" s="77"/>
      <c r="B20" s="79"/>
      <c r="C20" s="80" t="s">
        <v>5</v>
      </c>
      <c r="D20" s="21" t="s">
        <v>11</v>
      </c>
      <c r="E20" s="67">
        <v>3</v>
      </c>
      <c r="F20" s="65">
        <v>24</v>
      </c>
      <c r="G20" s="65">
        <v>16</v>
      </c>
      <c r="H20" s="65">
        <v>149</v>
      </c>
      <c r="I20" s="65">
        <v>15</v>
      </c>
      <c r="J20" s="65">
        <v>0</v>
      </c>
      <c r="K20" s="65">
        <v>0</v>
      </c>
      <c r="L20" s="65">
        <v>4</v>
      </c>
      <c r="M20" s="65">
        <v>0</v>
      </c>
      <c r="N20" s="65">
        <v>8</v>
      </c>
      <c r="O20" s="65">
        <v>0</v>
      </c>
      <c r="P20" s="65">
        <v>0</v>
      </c>
      <c r="Q20" s="65">
        <v>10</v>
      </c>
      <c r="R20" s="65">
        <v>54</v>
      </c>
      <c r="S20" s="65">
        <v>33</v>
      </c>
      <c r="T20" s="65">
        <v>472</v>
      </c>
      <c r="U20" s="65">
        <v>24</v>
      </c>
      <c r="V20" s="65">
        <v>0</v>
      </c>
      <c r="W20" s="65">
        <v>8955</v>
      </c>
    </row>
    <row r="21" spans="1:23" x14ac:dyDescent="0.25">
      <c r="A21" s="77"/>
      <c r="B21" s="79"/>
      <c r="C21" s="80"/>
      <c r="D21" s="21" t="s">
        <v>6</v>
      </c>
      <c r="E21" s="67">
        <v>0</v>
      </c>
      <c r="F21" s="65">
        <v>6</v>
      </c>
      <c r="G21" s="65">
        <v>13</v>
      </c>
      <c r="H21" s="65">
        <v>10</v>
      </c>
      <c r="I21" s="65">
        <v>14.5</v>
      </c>
      <c r="J21" s="65">
        <v>0</v>
      </c>
      <c r="K21" s="65">
        <v>0</v>
      </c>
      <c r="L21" s="65">
        <v>0</v>
      </c>
      <c r="M21" s="65">
        <v>0</v>
      </c>
      <c r="N21" s="65">
        <v>1</v>
      </c>
      <c r="O21" s="65">
        <v>0</v>
      </c>
      <c r="P21" s="65">
        <v>0</v>
      </c>
      <c r="Q21" s="65">
        <v>2</v>
      </c>
      <c r="R21" s="65">
        <v>11</v>
      </c>
      <c r="S21" s="65">
        <v>23</v>
      </c>
      <c r="T21" s="65">
        <v>26</v>
      </c>
      <c r="U21" s="65">
        <v>65</v>
      </c>
      <c r="V21" s="65">
        <v>0</v>
      </c>
      <c r="W21" s="65">
        <v>9041.5</v>
      </c>
    </row>
    <row r="22" spans="1:23" x14ac:dyDescent="0.25">
      <c r="A22" s="77"/>
      <c r="B22" s="87"/>
      <c r="C22" s="88"/>
      <c r="D22" s="64" t="s">
        <v>7</v>
      </c>
      <c r="E22" s="67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5405</v>
      </c>
    </row>
    <row r="23" spans="1:23" x14ac:dyDescent="0.25">
      <c r="A23" s="13"/>
      <c r="B23" s="85" t="s">
        <v>77</v>
      </c>
      <c r="C23" s="86"/>
      <c r="D23" s="73"/>
      <c r="E23" s="68">
        <v>279307</v>
      </c>
      <c r="F23" s="63">
        <v>28504</v>
      </c>
      <c r="G23" s="63">
        <v>152077.5</v>
      </c>
      <c r="H23" s="63">
        <v>39288</v>
      </c>
      <c r="I23" s="63">
        <v>50000</v>
      </c>
      <c r="J23" s="63">
        <v>110911</v>
      </c>
      <c r="K23" s="63">
        <v>48766</v>
      </c>
      <c r="L23" s="63">
        <v>9302</v>
      </c>
      <c r="M23" s="63">
        <v>30248.5</v>
      </c>
      <c r="N23" s="63">
        <v>5528</v>
      </c>
      <c r="O23" s="63">
        <v>10868</v>
      </c>
      <c r="P23" s="63">
        <v>19951</v>
      </c>
      <c r="Q23" s="63">
        <v>63596</v>
      </c>
      <c r="R23" s="63">
        <v>7041.5</v>
      </c>
      <c r="S23" s="63">
        <v>15741</v>
      </c>
      <c r="T23" s="63">
        <v>7400</v>
      </c>
      <c r="U23" s="63">
        <v>9966.5</v>
      </c>
      <c r="V23" s="63">
        <v>10444</v>
      </c>
      <c r="W23" s="13"/>
    </row>
  </sheetData>
  <mergeCells count="22">
    <mergeCell ref="C20:C22"/>
    <mergeCell ref="B23:D23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E1:V1"/>
    <mergeCell ref="E2:J2"/>
    <mergeCell ref="K2:P2"/>
    <mergeCell ref="Q2:V2"/>
    <mergeCell ref="W2:W4"/>
    <mergeCell ref="E3:G3"/>
    <mergeCell ref="H3:J3"/>
    <mergeCell ref="K3:M3"/>
    <mergeCell ref="N3:P3"/>
    <mergeCell ref="Q3:S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03E-E508-4D1C-8407-E6C4EFE9CC5F}">
  <dimension ref="A1:W23"/>
  <sheetViews>
    <sheetView showGridLines="0" tabSelected="1" workbookViewId="0">
      <selection activeCell="AA12" sqref="AA12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6.28515625" style="11" customWidth="1"/>
    <col min="5" max="22" width="9.140625" style="11"/>
    <col min="23" max="23" width="10.42578125" style="11" customWidth="1"/>
    <col min="24" max="16384" width="9.140625" style="11"/>
  </cols>
  <sheetData>
    <row r="1" spans="1:23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3" ht="16.5" thickTop="1" x14ac:dyDescent="0.25">
      <c r="B2" s="52" t="s">
        <v>82</v>
      </c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2" t="s">
        <v>3</v>
      </c>
      <c r="R2" s="70"/>
      <c r="S2" s="70"/>
      <c r="T2" s="70"/>
      <c r="U2" s="70"/>
      <c r="V2" s="71"/>
      <c r="W2" s="82" t="s">
        <v>78</v>
      </c>
    </row>
    <row r="3" spans="1:23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4"/>
      <c r="W3" s="83"/>
    </row>
    <row r="4" spans="1:23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7" t="s">
        <v>7</v>
      </c>
      <c r="W4" s="84"/>
    </row>
    <row r="5" spans="1:23" x14ac:dyDescent="0.25">
      <c r="A5" s="76" t="s">
        <v>12</v>
      </c>
      <c r="B5" s="79" t="s">
        <v>1</v>
      </c>
      <c r="C5" s="80" t="s">
        <v>4</v>
      </c>
      <c r="D5" s="19" t="s">
        <v>13</v>
      </c>
      <c r="E5" s="66">
        <v>153225</v>
      </c>
      <c r="F5" s="62">
        <v>46445.5</v>
      </c>
      <c r="G5" s="62">
        <v>3175</v>
      </c>
      <c r="H5" s="62">
        <v>59355</v>
      </c>
      <c r="I5" s="62">
        <v>38076</v>
      </c>
      <c r="J5" s="62">
        <v>765</v>
      </c>
      <c r="K5" s="62">
        <v>507</v>
      </c>
      <c r="L5" s="62">
        <v>0</v>
      </c>
      <c r="M5" s="62">
        <v>160</v>
      </c>
      <c r="N5" s="62">
        <v>0</v>
      </c>
      <c r="O5" s="62">
        <v>888</v>
      </c>
      <c r="P5" s="62">
        <v>0</v>
      </c>
      <c r="Q5" s="62">
        <v>6488</v>
      </c>
      <c r="R5" s="62">
        <v>1454</v>
      </c>
      <c r="S5" s="62">
        <v>116</v>
      </c>
      <c r="T5" s="62">
        <v>3167</v>
      </c>
      <c r="U5" s="62">
        <v>1632</v>
      </c>
      <c r="V5" s="62">
        <v>0</v>
      </c>
      <c r="W5" s="62">
        <v>32732421.5</v>
      </c>
    </row>
    <row r="6" spans="1:23" x14ac:dyDescent="0.25">
      <c r="A6" s="77"/>
      <c r="B6" s="79"/>
      <c r="C6" s="80"/>
      <c r="D6" s="19" t="s">
        <v>14</v>
      </c>
      <c r="E6" s="67">
        <v>48466.5</v>
      </c>
      <c r="F6" s="65">
        <v>202723</v>
      </c>
      <c r="G6" s="65">
        <v>41586</v>
      </c>
      <c r="H6" s="65">
        <v>25915</v>
      </c>
      <c r="I6" s="65">
        <v>201161</v>
      </c>
      <c r="J6" s="65">
        <v>30639</v>
      </c>
      <c r="K6" s="65">
        <v>713</v>
      </c>
      <c r="L6" s="65">
        <v>1185</v>
      </c>
      <c r="M6" s="65">
        <v>0</v>
      </c>
      <c r="N6" s="65">
        <v>0</v>
      </c>
      <c r="O6" s="65">
        <v>1122</v>
      </c>
      <c r="P6" s="65">
        <v>783</v>
      </c>
      <c r="Q6" s="65">
        <v>2360</v>
      </c>
      <c r="R6" s="65">
        <v>5835</v>
      </c>
      <c r="S6" s="65">
        <v>2190</v>
      </c>
      <c r="T6" s="65">
        <v>0</v>
      </c>
      <c r="U6" s="65">
        <v>10311</v>
      </c>
      <c r="V6" s="65">
        <v>564</v>
      </c>
      <c r="W6" s="65">
        <v>5842301.5</v>
      </c>
    </row>
    <row r="7" spans="1:23" x14ac:dyDescent="0.25">
      <c r="A7" s="77"/>
      <c r="B7" s="79"/>
      <c r="C7" s="80"/>
      <c r="D7" s="19" t="s">
        <v>15</v>
      </c>
      <c r="E7" s="67">
        <v>2602</v>
      </c>
      <c r="F7" s="65">
        <v>21955</v>
      </c>
      <c r="G7" s="65">
        <v>149875</v>
      </c>
      <c r="H7" s="65">
        <v>355</v>
      </c>
      <c r="I7" s="65">
        <v>18202</v>
      </c>
      <c r="J7" s="65">
        <v>98431.5</v>
      </c>
      <c r="K7" s="65">
        <v>0</v>
      </c>
      <c r="L7" s="65">
        <v>0</v>
      </c>
      <c r="M7" s="65">
        <v>914</v>
      </c>
      <c r="N7" s="65">
        <v>0</v>
      </c>
      <c r="O7" s="65">
        <v>0</v>
      </c>
      <c r="P7" s="65">
        <v>855</v>
      </c>
      <c r="Q7" s="65">
        <v>178</v>
      </c>
      <c r="R7" s="65">
        <v>4157</v>
      </c>
      <c r="S7" s="65">
        <v>5805</v>
      </c>
      <c r="T7" s="65">
        <v>334</v>
      </c>
      <c r="U7" s="65">
        <v>2724</v>
      </c>
      <c r="V7" s="65">
        <v>4827</v>
      </c>
      <c r="W7" s="65">
        <v>8581035.5</v>
      </c>
    </row>
    <row r="8" spans="1:23" x14ac:dyDescent="0.25">
      <c r="A8" s="77"/>
      <c r="B8" s="79"/>
      <c r="C8" s="80" t="s">
        <v>5</v>
      </c>
      <c r="D8" s="21" t="s">
        <v>11</v>
      </c>
      <c r="E8" s="67">
        <v>38202</v>
      </c>
      <c r="F8" s="65">
        <v>13385</v>
      </c>
      <c r="G8" s="65">
        <v>392</v>
      </c>
      <c r="H8" s="65">
        <v>117300</v>
      </c>
      <c r="I8" s="65">
        <v>107905</v>
      </c>
      <c r="J8" s="65">
        <v>1086</v>
      </c>
      <c r="K8" s="65">
        <v>225</v>
      </c>
      <c r="L8" s="65">
        <v>0</v>
      </c>
      <c r="M8" s="65">
        <v>0</v>
      </c>
      <c r="N8" s="65">
        <v>1508</v>
      </c>
      <c r="O8" s="65">
        <v>1002</v>
      </c>
      <c r="P8" s="65">
        <v>0</v>
      </c>
      <c r="Q8" s="65">
        <v>1028</v>
      </c>
      <c r="R8" s="65">
        <v>967</v>
      </c>
      <c r="S8" s="65">
        <v>0</v>
      </c>
      <c r="T8" s="65">
        <v>5559</v>
      </c>
      <c r="U8" s="65">
        <v>6917</v>
      </c>
      <c r="V8" s="65">
        <v>258</v>
      </c>
      <c r="W8" s="65">
        <v>5139590</v>
      </c>
    </row>
    <row r="9" spans="1:23" x14ac:dyDescent="0.25">
      <c r="A9" s="77"/>
      <c r="B9" s="79"/>
      <c r="C9" s="80"/>
      <c r="D9" s="21" t="s">
        <v>6</v>
      </c>
      <c r="E9" s="67">
        <v>16272</v>
      </c>
      <c r="F9" s="65">
        <v>88386</v>
      </c>
      <c r="G9" s="65">
        <v>20890</v>
      </c>
      <c r="H9" s="65">
        <v>42610</v>
      </c>
      <c r="I9" s="65">
        <v>697476</v>
      </c>
      <c r="J9" s="65">
        <v>57862.5</v>
      </c>
      <c r="K9" s="65">
        <v>0</v>
      </c>
      <c r="L9" s="65">
        <v>1000</v>
      </c>
      <c r="M9" s="65">
        <v>128</v>
      </c>
      <c r="N9" s="65">
        <v>357</v>
      </c>
      <c r="O9" s="65">
        <v>3935</v>
      </c>
      <c r="P9" s="65">
        <v>272</v>
      </c>
      <c r="Q9" s="65">
        <v>1001</v>
      </c>
      <c r="R9" s="65">
        <v>6231</v>
      </c>
      <c r="S9" s="65">
        <v>829</v>
      </c>
      <c r="T9" s="65">
        <v>1895</v>
      </c>
      <c r="U9" s="65">
        <v>41831</v>
      </c>
      <c r="V9" s="65">
        <v>3309</v>
      </c>
      <c r="W9" s="65">
        <v>6124710.5</v>
      </c>
    </row>
    <row r="10" spans="1:23" x14ac:dyDescent="0.25">
      <c r="A10" s="77"/>
      <c r="B10" s="79"/>
      <c r="C10" s="80"/>
      <c r="D10" s="21" t="s">
        <v>7</v>
      </c>
      <c r="E10" s="67">
        <v>1179</v>
      </c>
      <c r="F10" s="65">
        <v>12890</v>
      </c>
      <c r="G10" s="65">
        <v>83913.5</v>
      </c>
      <c r="H10" s="65">
        <v>2034</v>
      </c>
      <c r="I10" s="65">
        <v>44850.5</v>
      </c>
      <c r="J10" s="65">
        <v>180821</v>
      </c>
      <c r="K10" s="65">
        <v>0</v>
      </c>
      <c r="L10" s="65">
        <v>398</v>
      </c>
      <c r="M10" s="65">
        <v>599</v>
      </c>
      <c r="N10" s="65">
        <v>0</v>
      </c>
      <c r="O10" s="65">
        <v>745</v>
      </c>
      <c r="P10" s="65">
        <v>1207</v>
      </c>
      <c r="Q10" s="65">
        <v>439</v>
      </c>
      <c r="R10" s="65">
        <v>2296</v>
      </c>
      <c r="S10" s="65">
        <v>4231</v>
      </c>
      <c r="T10" s="65">
        <v>131</v>
      </c>
      <c r="U10" s="65">
        <v>6295</v>
      </c>
      <c r="V10" s="65">
        <v>11285</v>
      </c>
      <c r="W10" s="65">
        <v>6853669</v>
      </c>
    </row>
    <row r="11" spans="1:23" x14ac:dyDescent="0.25">
      <c r="A11" s="77"/>
      <c r="B11" s="79" t="s">
        <v>2</v>
      </c>
      <c r="C11" s="80" t="s">
        <v>4</v>
      </c>
      <c r="D11" s="21" t="s">
        <v>11</v>
      </c>
      <c r="E11" s="67">
        <v>1376</v>
      </c>
      <c r="F11" s="65">
        <v>0</v>
      </c>
      <c r="G11" s="65">
        <v>183</v>
      </c>
      <c r="H11" s="65">
        <v>579</v>
      </c>
      <c r="I11" s="65">
        <v>1498</v>
      </c>
      <c r="J11" s="65">
        <v>0</v>
      </c>
      <c r="K11" s="65">
        <v>10495</v>
      </c>
      <c r="L11" s="65">
        <v>4543</v>
      </c>
      <c r="M11" s="65">
        <v>2053</v>
      </c>
      <c r="N11" s="65">
        <v>3591</v>
      </c>
      <c r="O11" s="65">
        <v>4431</v>
      </c>
      <c r="P11" s="65">
        <v>0</v>
      </c>
      <c r="Q11" s="65">
        <v>1955</v>
      </c>
      <c r="R11" s="65">
        <v>886</v>
      </c>
      <c r="S11" s="65">
        <v>0</v>
      </c>
      <c r="T11" s="65">
        <v>0</v>
      </c>
      <c r="U11" s="65">
        <v>556</v>
      </c>
      <c r="V11" s="65">
        <v>276</v>
      </c>
      <c r="W11" s="65">
        <v>7206116</v>
      </c>
    </row>
    <row r="12" spans="1:23" x14ac:dyDescent="0.25">
      <c r="A12" s="77"/>
      <c r="B12" s="79"/>
      <c r="C12" s="80"/>
      <c r="D12" s="21" t="s">
        <v>6</v>
      </c>
      <c r="E12" s="67">
        <v>952</v>
      </c>
      <c r="F12" s="65">
        <v>4586</v>
      </c>
      <c r="G12" s="65">
        <v>1406</v>
      </c>
      <c r="H12" s="65">
        <v>241</v>
      </c>
      <c r="I12" s="65">
        <v>7180</v>
      </c>
      <c r="J12" s="65">
        <v>908</v>
      </c>
      <c r="K12" s="65">
        <v>2862</v>
      </c>
      <c r="L12" s="65">
        <v>27812</v>
      </c>
      <c r="M12" s="65">
        <v>5915</v>
      </c>
      <c r="N12" s="65">
        <v>793</v>
      </c>
      <c r="O12" s="65">
        <v>23632</v>
      </c>
      <c r="P12" s="65">
        <v>7485</v>
      </c>
      <c r="Q12" s="65">
        <v>194</v>
      </c>
      <c r="R12" s="65">
        <v>1945</v>
      </c>
      <c r="S12" s="65">
        <v>575</v>
      </c>
      <c r="T12" s="65">
        <v>0</v>
      </c>
      <c r="U12" s="65">
        <v>1451</v>
      </c>
      <c r="V12" s="65">
        <v>0</v>
      </c>
      <c r="W12" s="65">
        <v>1646329</v>
      </c>
    </row>
    <row r="13" spans="1:23" x14ac:dyDescent="0.25">
      <c r="A13" s="77"/>
      <c r="B13" s="79"/>
      <c r="C13" s="80"/>
      <c r="D13" s="21" t="s">
        <v>7</v>
      </c>
      <c r="E13" s="67">
        <v>235</v>
      </c>
      <c r="F13" s="65">
        <v>1967</v>
      </c>
      <c r="G13" s="65">
        <v>2123</v>
      </c>
      <c r="H13" s="65">
        <v>0</v>
      </c>
      <c r="I13" s="65">
        <v>496</v>
      </c>
      <c r="J13" s="65">
        <v>1787</v>
      </c>
      <c r="K13" s="65">
        <v>527</v>
      </c>
      <c r="L13" s="65">
        <v>6628</v>
      </c>
      <c r="M13" s="65">
        <v>34028</v>
      </c>
      <c r="N13" s="65">
        <v>0</v>
      </c>
      <c r="O13" s="65">
        <v>5131</v>
      </c>
      <c r="P13" s="65">
        <v>20099</v>
      </c>
      <c r="Q13" s="65">
        <v>0</v>
      </c>
      <c r="R13" s="65">
        <v>1652</v>
      </c>
      <c r="S13" s="65">
        <v>786</v>
      </c>
      <c r="T13" s="65">
        <v>0</v>
      </c>
      <c r="U13" s="65">
        <v>0</v>
      </c>
      <c r="V13" s="65">
        <v>347</v>
      </c>
      <c r="W13" s="65">
        <v>2071097</v>
      </c>
    </row>
    <row r="14" spans="1:23" x14ac:dyDescent="0.25">
      <c r="A14" s="77"/>
      <c r="B14" s="79"/>
      <c r="C14" s="80" t="s">
        <v>5</v>
      </c>
      <c r="D14" s="21" t="s">
        <v>11</v>
      </c>
      <c r="E14" s="67">
        <v>620</v>
      </c>
      <c r="F14" s="65">
        <v>496</v>
      </c>
      <c r="G14" s="65">
        <v>0</v>
      </c>
      <c r="H14" s="65">
        <v>1078</v>
      </c>
      <c r="I14" s="65">
        <v>1333</v>
      </c>
      <c r="J14" s="65">
        <v>0</v>
      </c>
      <c r="K14" s="65">
        <v>3061</v>
      </c>
      <c r="L14" s="65">
        <v>1694</v>
      </c>
      <c r="M14" s="65">
        <v>0</v>
      </c>
      <c r="N14" s="65">
        <v>5212</v>
      </c>
      <c r="O14" s="65">
        <v>4486</v>
      </c>
      <c r="P14" s="65">
        <v>0</v>
      </c>
      <c r="Q14" s="65">
        <v>131</v>
      </c>
      <c r="R14" s="65">
        <v>0</v>
      </c>
      <c r="S14" s="65">
        <v>0</v>
      </c>
      <c r="T14" s="65">
        <v>1093</v>
      </c>
      <c r="U14" s="65">
        <v>0</v>
      </c>
      <c r="V14" s="65">
        <v>0</v>
      </c>
      <c r="W14" s="65">
        <v>759527</v>
      </c>
    </row>
    <row r="15" spans="1:23" x14ac:dyDescent="0.25">
      <c r="A15" s="77"/>
      <c r="B15" s="79"/>
      <c r="C15" s="80"/>
      <c r="D15" s="21" t="s">
        <v>6</v>
      </c>
      <c r="E15" s="67">
        <v>279</v>
      </c>
      <c r="F15" s="65">
        <v>6423</v>
      </c>
      <c r="G15" s="65">
        <v>432</v>
      </c>
      <c r="H15" s="65">
        <v>721</v>
      </c>
      <c r="I15" s="65">
        <v>16494</v>
      </c>
      <c r="J15" s="65">
        <v>1362</v>
      </c>
      <c r="K15" s="65">
        <v>1868</v>
      </c>
      <c r="L15" s="65">
        <v>8138</v>
      </c>
      <c r="M15" s="65">
        <v>1595</v>
      </c>
      <c r="N15" s="65">
        <v>3215</v>
      </c>
      <c r="O15" s="65">
        <v>50729</v>
      </c>
      <c r="P15" s="65">
        <v>6813</v>
      </c>
      <c r="Q15" s="65">
        <v>107</v>
      </c>
      <c r="R15" s="65">
        <v>2630</v>
      </c>
      <c r="S15" s="65">
        <v>0</v>
      </c>
      <c r="T15" s="65">
        <v>512</v>
      </c>
      <c r="U15" s="65">
        <v>5800</v>
      </c>
      <c r="V15" s="65">
        <v>0</v>
      </c>
      <c r="W15" s="65">
        <v>1053979</v>
      </c>
    </row>
    <row r="16" spans="1:23" x14ac:dyDescent="0.25">
      <c r="A16" s="77"/>
      <c r="B16" s="79"/>
      <c r="C16" s="80"/>
      <c r="D16" s="21" t="s">
        <v>7</v>
      </c>
      <c r="E16" s="67">
        <v>0</v>
      </c>
      <c r="F16" s="65">
        <v>1413</v>
      </c>
      <c r="G16" s="65">
        <v>951</v>
      </c>
      <c r="H16" s="65">
        <v>0</v>
      </c>
      <c r="I16" s="65">
        <v>2222</v>
      </c>
      <c r="J16" s="65">
        <v>3025</v>
      </c>
      <c r="K16" s="65">
        <v>0</v>
      </c>
      <c r="L16" s="65">
        <v>1413</v>
      </c>
      <c r="M16" s="65">
        <v>12114</v>
      </c>
      <c r="N16" s="65">
        <v>0</v>
      </c>
      <c r="O16" s="65">
        <v>8590</v>
      </c>
      <c r="P16" s="65">
        <v>23141</v>
      </c>
      <c r="Q16" s="65">
        <v>0</v>
      </c>
      <c r="R16" s="65">
        <v>155</v>
      </c>
      <c r="S16" s="65">
        <v>745.5</v>
      </c>
      <c r="T16" s="65">
        <v>0</v>
      </c>
      <c r="U16" s="65">
        <v>708</v>
      </c>
      <c r="V16" s="65">
        <v>820</v>
      </c>
      <c r="W16" s="65">
        <v>963630.5</v>
      </c>
    </row>
    <row r="17" spans="1:23" x14ac:dyDescent="0.25">
      <c r="A17" s="77"/>
      <c r="B17" s="79" t="s">
        <v>3</v>
      </c>
      <c r="C17" s="80" t="s">
        <v>4</v>
      </c>
      <c r="D17" s="21" t="s">
        <v>11</v>
      </c>
      <c r="E17" s="67">
        <v>4882</v>
      </c>
      <c r="F17" s="65">
        <v>2977</v>
      </c>
      <c r="G17" s="65">
        <v>119</v>
      </c>
      <c r="H17" s="65">
        <v>2382</v>
      </c>
      <c r="I17" s="65">
        <v>3242</v>
      </c>
      <c r="J17" s="65">
        <v>315</v>
      </c>
      <c r="K17" s="65">
        <v>431</v>
      </c>
      <c r="L17" s="65">
        <v>205</v>
      </c>
      <c r="M17" s="65">
        <v>0</v>
      </c>
      <c r="N17" s="65">
        <v>112</v>
      </c>
      <c r="O17" s="65">
        <v>218</v>
      </c>
      <c r="P17" s="65">
        <v>0</v>
      </c>
      <c r="Q17" s="65">
        <v>29685</v>
      </c>
      <c r="R17" s="65">
        <v>8323</v>
      </c>
      <c r="S17" s="65">
        <v>634</v>
      </c>
      <c r="T17" s="65">
        <v>4952</v>
      </c>
      <c r="U17" s="65">
        <v>3349</v>
      </c>
      <c r="V17" s="65">
        <v>797</v>
      </c>
      <c r="W17" s="65">
        <v>8203402</v>
      </c>
    </row>
    <row r="18" spans="1:23" x14ac:dyDescent="0.25">
      <c r="A18" s="77"/>
      <c r="B18" s="79"/>
      <c r="C18" s="80"/>
      <c r="D18" s="21" t="s">
        <v>6</v>
      </c>
      <c r="E18" s="67">
        <v>1506</v>
      </c>
      <c r="F18" s="65">
        <v>8886</v>
      </c>
      <c r="G18" s="65">
        <v>2146</v>
      </c>
      <c r="H18" s="65">
        <v>774</v>
      </c>
      <c r="I18" s="65">
        <v>10698</v>
      </c>
      <c r="J18" s="65">
        <v>1554</v>
      </c>
      <c r="K18" s="65">
        <v>0</v>
      </c>
      <c r="L18" s="65">
        <v>390</v>
      </c>
      <c r="M18" s="65">
        <v>650</v>
      </c>
      <c r="N18" s="65">
        <v>49</v>
      </c>
      <c r="O18" s="65">
        <v>574</v>
      </c>
      <c r="P18" s="65">
        <v>0</v>
      </c>
      <c r="Q18" s="65">
        <v>9849</v>
      </c>
      <c r="R18" s="65">
        <v>43415</v>
      </c>
      <c r="S18" s="65">
        <v>7706</v>
      </c>
      <c r="T18" s="65">
        <v>3000</v>
      </c>
      <c r="U18" s="65">
        <v>21058</v>
      </c>
      <c r="V18" s="65">
        <v>2620</v>
      </c>
      <c r="W18" s="65">
        <v>1402260</v>
      </c>
    </row>
    <row r="19" spans="1:23" x14ac:dyDescent="0.25">
      <c r="A19" s="77"/>
      <c r="B19" s="79"/>
      <c r="C19" s="80"/>
      <c r="D19" s="21" t="s">
        <v>7</v>
      </c>
      <c r="E19" s="67">
        <v>0</v>
      </c>
      <c r="F19" s="65">
        <v>647</v>
      </c>
      <c r="G19" s="65">
        <v>4568</v>
      </c>
      <c r="H19" s="65">
        <v>0</v>
      </c>
      <c r="I19" s="65">
        <v>125</v>
      </c>
      <c r="J19" s="65">
        <v>3183</v>
      </c>
      <c r="K19" s="65">
        <v>0</v>
      </c>
      <c r="L19" s="65">
        <v>334</v>
      </c>
      <c r="M19" s="65">
        <v>559</v>
      </c>
      <c r="N19" s="65">
        <v>0</v>
      </c>
      <c r="O19" s="65">
        <v>152</v>
      </c>
      <c r="P19" s="65">
        <v>838.5</v>
      </c>
      <c r="Q19" s="65">
        <v>107</v>
      </c>
      <c r="R19" s="65">
        <v>5059</v>
      </c>
      <c r="S19" s="65">
        <v>13914</v>
      </c>
      <c r="T19" s="65">
        <v>0</v>
      </c>
      <c r="U19" s="65">
        <v>2556</v>
      </c>
      <c r="V19" s="65">
        <v>5524</v>
      </c>
      <c r="W19" s="65">
        <v>935160.5</v>
      </c>
    </row>
    <row r="20" spans="1:23" x14ac:dyDescent="0.25">
      <c r="A20" s="77"/>
      <c r="B20" s="79"/>
      <c r="C20" s="80" t="s">
        <v>5</v>
      </c>
      <c r="D20" s="21" t="s">
        <v>11</v>
      </c>
      <c r="E20" s="67">
        <v>2336</v>
      </c>
      <c r="F20" s="65">
        <v>521</v>
      </c>
      <c r="G20" s="65">
        <v>0</v>
      </c>
      <c r="H20" s="65">
        <v>5231</v>
      </c>
      <c r="I20" s="65">
        <v>4264</v>
      </c>
      <c r="J20" s="65">
        <v>374</v>
      </c>
      <c r="K20" s="65">
        <v>216</v>
      </c>
      <c r="L20" s="65">
        <v>0</v>
      </c>
      <c r="M20" s="65">
        <v>0</v>
      </c>
      <c r="N20" s="65">
        <v>1646</v>
      </c>
      <c r="O20" s="65">
        <v>1105</v>
      </c>
      <c r="P20" s="65">
        <v>0</v>
      </c>
      <c r="Q20" s="65">
        <v>6502</v>
      </c>
      <c r="R20" s="65">
        <v>2011</v>
      </c>
      <c r="S20" s="65">
        <v>0</v>
      </c>
      <c r="T20" s="65">
        <v>7525</v>
      </c>
      <c r="U20" s="65">
        <v>7623</v>
      </c>
      <c r="V20" s="65">
        <v>0</v>
      </c>
      <c r="W20" s="65">
        <v>1073285</v>
      </c>
    </row>
    <row r="21" spans="1:23" x14ac:dyDescent="0.25">
      <c r="A21" s="77"/>
      <c r="B21" s="79"/>
      <c r="C21" s="80"/>
      <c r="D21" s="21" t="s">
        <v>6</v>
      </c>
      <c r="E21" s="67">
        <v>869</v>
      </c>
      <c r="F21" s="65">
        <v>4576</v>
      </c>
      <c r="G21" s="65">
        <v>82</v>
      </c>
      <c r="H21" s="65">
        <v>4294</v>
      </c>
      <c r="I21" s="65">
        <v>28918</v>
      </c>
      <c r="J21" s="65">
        <v>2638</v>
      </c>
      <c r="K21" s="65">
        <v>0</v>
      </c>
      <c r="L21" s="65">
        <v>631</v>
      </c>
      <c r="M21" s="65">
        <v>0</v>
      </c>
      <c r="N21" s="65">
        <v>0</v>
      </c>
      <c r="O21" s="65">
        <v>1395</v>
      </c>
      <c r="P21" s="65">
        <v>0</v>
      </c>
      <c r="Q21" s="65">
        <v>2157</v>
      </c>
      <c r="R21" s="65">
        <v>13643</v>
      </c>
      <c r="S21" s="65">
        <v>2304</v>
      </c>
      <c r="T21" s="65">
        <v>5865</v>
      </c>
      <c r="U21" s="65">
        <v>102228</v>
      </c>
      <c r="V21" s="65">
        <v>5600</v>
      </c>
      <c r="W21" s="65">
        <v>1279307</v>
      </c>
    </row>
    <row r="22" spans="1:23" x14ac:dyDescent="0.25">
      <c r="A22" s="77"/>
      <c r="B22" s="87"/>
      <c r="C22" s="88"/>
      <c r="D22" s="64" t="s">
        <v>7</v>
      </c>
      <c r="E22" s="67">
        <v>0</v>
      </c>
      <c r="F22" s="65">
        <v>1506</v>
      </c>
      <c r="G22" s="65">
        <v>3381</v>
      </c>
      <c r="H22" s="65">
        <v>32</v>
      </c>
      <c r="I22" s="65">
        <v>1866</v>
      </c>
      <c r="J22" s="65">
        <v>2241</v>
      </c>
      <c r="K22" s="65">
        <v>0</v>
      </c>
      <c r="L22" s="65">
        <v>0</v>
      </c>
      <c r="M22" s="65">
        <v>0</v>
      </c>
      <c r="N22" s="65">
        <v>0</v>
      </c>
      <c r="O22" s="65">
        <v>128</v>
      </c>
      <c r="P22" s="65">
        <v>0</v>
      </c>
      <c r="Q22" s="65">
        <v>540</v>
      </c>
      <c r="R22" s="65">
        <v>1890</v>
      </c>
      <c r="S22" s="65">
        <v>4047</v>
      </c>
      <c r="T22" s="65">
        <v>677</v>
      </c>
      <c r="U22" s="65">
        <v>4786</v>
      </c>
      <c r="V22" s="65">
        <v>12241</v>
      </c>
      <c r="W22" s="65">
        <v>596583</v>
      </c>
    </row>
    <row r="23" spans="1:23" x14ac:dyDescent="0.25">
      <c r="A23" s="13"/>
      <c r="B23" s="85" t="s">
        <v>77</v>
      </c>
      <c r="C23" s="86"/>
      <c r="D23" s="73"/>
      <c r="E23" s="68">
        <v>28911193.5</v>
      </c>
      <c r="F23" s="63">
        <v>3612956.5</v>
      </c>
      <c r="G23" s="63">
        <v>13959294.5</v>
      </c>
      <c r="H23" s="63">
        <v>4252696</v>
      </c>
      <c r="I23" s="63">
        <v>6601821.5</v>
      </c>
      <c r="J23" s="63">
        <v>10862924</v>
      </c>
      <c r="K23" s="63">
        <v>6472704</v>
      </c>
      <c r="L23" s="63">
        <v>1304152</v>
      </c>
      <c r="M23" s="63">
        <v>3269448</v>
      </c>
      <c r="N23" s="63">
        <v>780241</v>
      </c>
      <c r="O23" s="63">
        <v>1600566</v>
      </c>
      <c r="P23" s="63">
        <v>2304920.5</v>
      </c>
      <c r="Q23" s="63">
        <v>7335437</v>
      </c>
      <c r="R23" s="63">
        <v>980924</v>
      </c>
      <c r="S23" s="63">
        <v>1709205.5</v>
      </c>
      <c r="T23" s="63">
        <v>833990</v>
      </c>
      <c r="U23" s="63">
        <v>1399515</v>
      </c>
      <c r="V23" s="63">
        <v>1141501</v>
      </c>
      <c r="W23" s="13"/>
    </row>
  </sheetData>
  <mergeCells count="22">
    <mergeCell ref="C20:C22"/>
    <mergeCell ref="B23:D23"/>
    <mergeCell ref="T3:V3"/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E1:V1"/>
    <mergeCell ref="E2:J2"/>
    <mergeCell ref="K2:P2"/>
    <mergeCell ref="Q2:V2"/>
    <mergeCell ref="W2:W4"/>
    <mergeCell ref="E3:G3"/>
    <mergeCell ref="H3:J3"/>
    <mergeCell ref="K3:M3"/>
    <mergeCell ref="N3:P3"/>
    <mergeCell ref="Q3:S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80BB-8953-4B2F-8837-8D0C36B90334}">
  <dimension ref="A1:V25"/>
  <sheetViews>
    <sheetView showGridLines="0" workbookViewId="0">
      <selection activeCell="U14" sqref="U14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16384" width="9.140625" style="11"/>
  </cols>
  <sheetData>
    <row r="1" spans="1:22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2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</row>
    <row r="3" spans="1:22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</row>
    <row r="4" spans="1:22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</row>
    <row r="5" spans="1:22" x14ac:dyDescent="0.25">
      <c r="A5" s="76" t="s">
        <v>12</v>
      </c>
      <c r="B5" s="79" t="s">
        <v>1</v>
      </c>
      <c r="C5" s="80" t="s">
        <v>4</v>
      </c>
      <c r="D5" s="19" t="s">
        <v>13</v>
      </c>
      <c r="E5" s="38"/>
      <c r="F5" s="22"/>
      <c r="G5" s="29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x14ac:dyDescent="0.25">
      <c r="A6" s="77"/>
      <c r="B6" s="79"/>
      <c r="C6" s="80"/>
      <c r="D6" s="19" t="s">
        <v>14</v>
      </c>
      <c r="E6" s="37"/>
      <c r="F6" s="26"/>
      <c r="G6" s="31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x14ac:dyDescent="0.25">
      <c r="A7" s="77"/>
      <c r="B7" s="79"/>
      <c r="C7" s="80"/>
      <c r="D7" s="19" t="s">
        <v>15</v>
      </c>
      <c r="E7" s="24"/>
      <c r="F7" s="24"/>
      <c r="G7" s="3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spans="1:22" x14ac:dyDescent="0.25">
      <c r="A8" s="77"/>
      <c r="B8" s="79"/>
      <c r="C8" s="80" t="s">
        <v>5</v>
      </c>
      <c r="D8" s="21" t="s">
        <v>11</v>
      </c>
      <c r="E8" s="23"/>
      <c r="F8" s="23"/>
      <c r="G8" s="23"/>
      <c r="H8" s="34"/>
      <c r="I8" s="22"/>
      <c r="J8" s="29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1:22" x14ac:dyDescent="0.25">
      <c r="A9" s="77"/>
      <c r="B9" s="79"/>
      <c r="C9" s="80"/>
      <c r="D9" s="21" t="s">
        <v>6</v>
      </c>
      <c r="E9" s="23"/>
      <c r="F9" s="23"/>
      <c r="G9" s="23"/>
      <c r="H9" s="30"/>
      <c r="I9" s="26"/>
      <c r="J9" s="31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2" x14ac:dyDescent="0.25">
      <c r="A10" s="77"/>
      <c r="B10" s="79"/>
      <c r="C10" s="80"/>
      <c r="D10" s="21" t="s">
        <v>7</v>
      </c>
      <c r="E10" s="23"/>
      <c r="F10" s="23"/>
      <c r="G10" s="23"/>
      <c r="H10" s="32"/>
      <c r="I10" s="24"/>
      <c r="J10" s="3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 x14ac:dyDescent="0.25">
      <c r="A11" s="77"/>
      <c r="B11" s="79" t="s">
        <v>2</v>
      </c>
      <c r="C11" s="80" t="s">
        <v>4</v>
      </c>
      <c r="D11" s="21" t="s">
        <v>11</v>
      </c>
      <c r="E11" s="23"/>
      <c r="F11" s="23"/>
      <c r="G11" s="23"/>
      <c r="H11" s="23"/>
      <c r="I11" s="23"/>
      <c r="J11" s="23"/>
      <c r="K11" s="34"/>
      <c r="L11" s="22"/>
      <c r="M11" s="29"/>
      <c r="N11" s="23"/>
      <c r="O11" s="23"/>
      <c r="P11" s="23"/>
      <c r="Q11" s="23"/>
      <c r="R11" s="23"/>
      <c r="S11" s="23"/>
      <c r="T11" s="23"/>
      <c r="U11" s="23"/>
      <c r="V11" s="23"/>
    </row>
    <row r="12" spans="1:22" x14ac:dyDescent="0.25">
      <c r="A12" s="77"/>
      <c r="B12" s="79"/>
      <c r="C12" s="80"/>
      <c r="D12" s="21" t="s">
        <v>6</v>
      </c>
      <c r="E12" s="23"/>
      <c r="F12" s="23"/>
      <c r="G12" s="23"/>
      <c r="H12" s="23"/>
      <c r="I12" s="23"/>
      <c r="J12" s="23"/>
      <c r="K12" s="30"/>
      <c r="L12" s="26"/>
      <c r="M12" s="31"/>
      <c r="N12" s="23"/>
      <c r="O12" s="23"/>
      <c r="P12" s="23"/>
      <c r="Q12" s="23"/>
      <c r="R12" s="23"/>
      <c r="S12" s="23"/>
      <c r="T12" s="23"/>
      <c r="U12" s="23"/>
      <c r="V12" s="23"/>
    </row>
    <row r="13" spans="1:22" x14ac:dyDescent="0.25">
      <c r="A13" s="77"/>
      <c r="B13" s="79"/>
      <c r="C13" s="80"/>
      <c r="D13" s="21" t="s">
        <v>7</v>
      </c>
      <c r="E13" s="23"/>
      <c r="F13" s="23"/>
      <c r="G13" s="23"/>
      <c r="H13" s="23"/>
      <c r="I13" s="23"/>
      <c r="J13" s="23"/>
      <c r="K13" s="32"/>
      <c r="L13" s="24"/>
      <c r="M13" s="33"/>
      <c r="N13" s="23"/>
      <c r="O13" s="23"/>
      <c r="P13" s="23"/>
      <c r="Q13" s="23"/>
      <c r="R13" s="23"/>
      <c r="S13" s="23"/>
      <c r="T13" s="23"/>
      <c r="U13" s="23"/>
      <c r="V13" s="23"/>
    </row>
    <row r="14" spans="1:22" x14ac:dyDescent="0.25">
      <c r="A14" s="77"/>
      <c r="B14" s="79"/>
      <c r="C14" s="80" t="s">
        <v>5</v>
      </c>
      <c r="D14" s="21" t="s">
        <v>11</v>
      </c>
      <c r="E14" s="23"/>
      <c r="F14" s="23"/>
      <c r="G14" s="23"/>
      <c r="H14" s="23"/>
      <c r="I14" s="23"/>
      <c r="J14" s="23"/>
      <c r="K14" s="37"/>
      <c r="L14" s="23"/>
      <c r="M14" s="23"/>
      <c r="N14" s="34"/>
      <c r="O14" s="22"/>
      <c r="P14" s="29"/>
      <c r="Q14" s="23"/>
      <c r="R14" s="23"/>
      <c r="S14" s="23"/>
      <c r="T14" s="23"/>
      <c r="U14" s="23"/>
      <c r="V14" s="23"/>
    </row>
    <row r="15" spans="1:22" x14ac:dyDescent="0.25">
      <c r="A15" s="77"/>
      <c r="B15" s="79"/>
      <c r="C15" s="80"/>
      <c r="D15" s="21" t="s">
        <v>6</v>
      </c>
      <c r="E15" s="23"/>
      <c r="F15" s="23"/>
      <c r="G15" s="23"/>
      <c r="H15" s="23"/>
      <c r="I15" s="23"/>
      <c r="J15" s="23"/>
      <c r="K15" s="23"/>
      <c r="L15" s="37"/>
      <c r="M15" s="23"/>
      <c r="N15" s="30"/>
      <c r="O15" s="26"/>
      <c r="P15" s="31"/>
      <c r="Q15" s="23"/>
      <c r="R15" s="23"/>
      <c r="S15" s="23"/>
      <c r="T15" s="23"/>
      <c r="U15" s="23"/>
      <c r="V15" s="23"/>
    </row>
    <row r="16" spans="1:22" x14ac:dyDescent="0.25">
      <c r="A16" s="77"/>
      <c r="B16" s="79"/>
      <c r="C16" s="80"/>
      <c r="D16" s="21" t="s">
        <v>7</v>
      </c>
      <c r="E16" s="23"/>
      <c r="F16" s="23"/>
      <c r="G16" s="23"/>
      <c r="H16" s="23"/>
      <c r="I16" s="23"/>
      <c r="J16" s="23"/>
      <c r="K16" s="23"/>
      <c r="L16" s="23"/>
      <c r="M16" s="23"/>
      <c r="N16" s="32"/>
      <c r="O16" s="24"/>
      <c r="P16" s="33"/>
      <c r="Q16" s="23"/>
      <c r="R16" s="23"/>
      <c r="S16" s="23"/>
      <c r="T16" s="23"/>
      <c r="U16" s="23"/>
      <c r="V16" s="23"/>
    </row>
    <row r="17" spans="1:22" x14ac:dyDescent="0.25">
      <c r="A17" s="77"/>
      <c r="B17" s="79" t="s">
        <v>3</v>
      </c>
      <c r="C17" s="80" t="s">
        <v>4</v>
      </c>
      <c r="D17" s="21" t="s">
        <v>11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34"/>
      <c r="R17" s="22"/>
      <c r="S17" s="29"/>
      <c r="T17" s="23"/>
      <c r="U17" s="23"/>
      <c r="V17" s="23"/>
    </row>
    <row r="18" spans="1:22" x14ac:dyDescent="0.25">
      <c r="A18" s="77"/>
      <c r="B18" s="79"/>
      <c r="C18" s="80"/>
      <c r="D18" s="21" t="s">
        <v>6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36"/>
      <c r="R18" s="26"/>
      <c r="S18" s="31"/>
      <c r="T18" s="23"/>
      <c r="U18" s="23"/>
      <c r="V18" s="23"/>
    </row>
    <row r="19" spans="1:22" x14ac:dyDescent="0.25">
      <c r="A19" s="77"/>
      <c r="B19" s="79"/>
      <c r="C19" s="80"/>
      <c r="D19" s="21" t="s">
        <v>7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32"/>
      <c r="R19" s="24"/>
      <c r="S19" s="33"/>
      <c r="T19" s="23"/>
      <c r="U19" s="23"/>
      <c r="V19" s="23"/>
    </row>
    <row r="20" spans="1:22" x14ac:dyDescent="0.25">
      <c r="A20" s="77"/>
      <c r="B20" s="79"/>
      <c r="C20" s="80" t="s">
        <v>5</v>
      </c>
      <c r="D20" s="21" t="s">
        <v>11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34"/>
      <c r="U20" s="22"/>
      <c r="V20" s="22"/>
    </row>
    <row r="21" spans="1:22" x14ac:dyDescent="0.25">
      <c r="A21" s="77"/>
      <c r="B21" s="79"/>
      <c r="C21" s="80"/>
      <c r="D21" s="21" t="s">
        <v>6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30"/>
      <c r="U21" s="26"/>
      <c r="V21" s="23"/>
    </row>
    <row r="22" spans="1:22" x14ac:dyDescent="0.25">
      <c r="A22" s="78"/>
      <c r="B22" s="79"/>
      <c r="C22" s="80"/>
      <c r="D22" s="21" t="s">
        <v>7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32"/>
      <c r="U22" s="24"/>
      <c r="V22" s="27"/>
    </row>
    <row r="25" spans="1:22" x14ac:dyDescent="0.25">
      <c r="D25" s="11" t="s">
        <v>16</v>
      </c>
      <c r="E25" s="23">
        <f>MAX(E5:E22)</f>
        <v>0</v>
      </c>
      <c r="F25" s="23">
        <f t="shared" ref="F25:V25" si="0">MAX(F5:F22)</f>
        <v>0</v>
      </c>
      <c r="G25" s="23">
        <f t="shared" si="0"/>
        <v>0</v>
      </c>
      <c r="H25" s="23">
        <f t="shared" si="0"/>
        <v>0</v>
      </c>
      <c r="I25" s="23">
        <f t="shared" si="0"/>
        <v>0</v>
      </c>
      <c r="J25" s="23">
        <f t="shared" si="0"/>
        <v>0</v>
      </c>
      <c r="K25" s="23">
        <f t="shared" si="0"/>
        <v>0</v>
      </c>
      <c r="L25" s="23">
        <f t="shared" si="0"/>
        <v>0</v>
      </c>
      <c r="M25" s="23">
        <f t="shared" si="0"/>
        <v>0</v>
      </c>
      <c r="N25" s="23">
        <f t="shared" si="0"/>
        <v>0</v>
      </c>
      <c r="O25" s="23">
        <f t="shared" si="0"/>
        <v>0</v>
      </c>
      <c r="P25" s="23">
        <f t="shared" si="0"/>
        <v>0</v>
      </c>
      <c r="Q25" s="23">
        <f t="shared" si="0"/>
        <v>0</v>
      </c>
      <c r="R25" s="23">
        <f t="shared" si="0"/>
        <v>0</v>
      </c>
      <c r="S25" s="23">
        <f t="shared" si="0"/>
        <v>0</v>
      </c>
      <c r="T25" s="23">
        <f t="shared" si="0"/>
        <v>0</v>
      </c>
      <c r="U25" s="23">
        <f t="shared" si="0"/>
        <v>0</v>
      </c>
      <c r="V25" s="23">
        <f t="shared" si="0"/>
        <v>0</v>
      </c>
    </row>
  </sheetData>
  <mergeCells count="20"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D39F-DC93-45F5-8271-9462C6AB6AC8}">
  <dimension ref="A1:V22"/>
  <sheetViews>
    <sheetView showGridLines="0" workbookViewId="0">
      <selection activeCell="L7" sqref="L7"/>
    </sheetView>
  </sheetViews>
  <sheetFormatPr defaultColWidth="9.140625" defaultRowHeight="15" x14ac:dyDescent="0.25"/>
  <cols>
    <col min="1" max="1" width="6.85546875" style="11" customWidth="1"/>
    <col min="2" max="2" width="7.7109375" style="11" customWidth="1"/>
    <col min="3" max="3" width="9.140625" style="11"/>
    <col min="4" max="4" width="14.7109375" style="11" customWidth="1"/>
    <col min="5" max="16384" width="9.140625" style="11"/>
  </cols>
  <sheetData>
    <row r="1" spans="1:22" ht="15.75" thickBot="1" x14ac:dyDescent="0.3">
      <c r="D1" s="12"/>
      <c r="E1" s="69" t="s">
        <v>0</v>
      </c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</row>
    <row r="2" spans="1:22" ht="15.75" thickTop="1" x14ac:dyDescent="0.25">
      <c r="D2" s="12"/>
      <c r="E2" s="70" t="s">
        <v>1</v>
      </c>
      <c r="F2" s="70"/>
      <c r="G2" s="70"/>
      <c r="H2" s="70"/>
      <c r="I2" s="70"/>
      <c r="J2" s="71"/>
      <c r="K2" s="72" t="s">
        <v>2</v>
      </c>
      <c r="L2" s="70"/>
      <c r="M2" s="70"/>
      <c r="N2" s="70"/>
      <c r="O2" s="70"/>
      <c r="P2" s="71"/>
      <c r="Q2" s="70" t="s">
        <v>3</v>
      </c>
      <c r="R2" s="70"/>
      <c r="S2" s="70"/>
      <c r="T2" s="70"/>
      <c r="U2" s="70"/>
      <c r="V2" s="70"/>
    </row>
    <row r="3" spans="1:22" x14ac:dyDescent="0.25">
      <c r="D3" s="12"/>
      <c r="E3" s="73" t="s">
        <v>4</v>
      </c>
      <c r="F3" s="74"/>
      <c r="G3" s="74"/>
      <c r="H3" s="74" t="s">
        <v>5</v>
      </c>
      <c r="I3" s="74"/>
      <c r="J3" s="74"/>
      <c r="K3" s="74" t="s">
        <v>4</v>
      </c>
      <c r="L3" s="74"/>
      <c r="M3" s="74"/>
      <c r="N3" s="74" t="s">
        <v>5</v>
      </c>
      <c r="O3" s="74"/>
      <c r="P3" s="74"/>
      <c r="Q3" s="74" t="s">
        <v>4</v>
      </c>
      <c r="R3" s="74"/>
      <c r="S3" s="74"/>
      <c r="T3" s="74" t="s">
        <v>5</v>
      </c>
      <c r="U3" s="74"/>
      <c r="V3" s="75"/>
    </row>
    <row r="4" spans="1:22" ht="30" x14ac:dyDescent="0.25">
      <c r="A4" s="13"/>
      <c r="B4" s="13"/>
      <c r="C4" s="13"/>
      <c r="D4" s="14"/>
      <c r="E4" s="15" t="s">
        <v>9</v>
      </c>
      <c r="F4" s="16" t="s">
        <v>8</v>
      </c>
      <c r="G4" s="16" t="s">
        <v>10</v>
      </c>
      <c r="H4" s="17" t="s">
        <v>11</v>
      </c>
      <c r="I4" s="17" t="s">
        <v>6</v>
      </c>
      <c r="J4" s="17" t="s">
        <v>7</v>
      </c>
      <c r="K4" s="17" t="s">
        <v>11</v>
      </c>
      <c r="L4" s="17" t="s">
        <v>6</v>
      </c>
      <c r="M4" s="17" t="s">
        <v>7</v>
      </c>
      <c r="N4" s="17" t="s">
        <v>11</v>
      </c>
      <c r="O4" s="17" t="s">
        <v>6</v>
      </c>
      <c r="P4" s="17" t="s">
        <v>7</v>
      </c>
      <c r="Q4" s="17" t="s">
        <v>11</v>
      </c>
      <c r="R4" s="17" t="s">
        <v>6</v>
      </c>
      <c r="S4" s="17" t="s">
        <v>7</v>
      </c>
      <c r="T4" s="17" t="s">
        <v>11</v>
      </c>
      <c r="U4" s="17" t="s">
        <v>6</v>
      </c>
      <c r="V4" s="18" t="s">
        <v>7</v>
      </c>
    </row>
    <row r="5" spans="1:22" x14ac:dyDescent="0.25">
      <c r="A5" s="76" t="s">
        <v>12</v>
      </c>
      <c r="B5" s="79" t="s">
        <v>1</v>
      </c>
      <c r="C5" s="80" t="s">
        <v>4</v>
      </c>
      <c r="D5" s="19" t="s">
        <v>13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2" x14ac:dyDescent="0.25">
      <c r="A6" s="77"/>
      <c r="B6" s="79"/>
      <c r="C6" s="80"/>
      <c r="D6" s="19" t="s">
        <v>14</v>
      </c>
    </row>
    <row r="7" spans="1:22" x14ac:dyDescent="0.25">
      <c r="A7" s="77"/>
      <c r="B7" s="79"/>
      <c r="C7" s="80"/>
      <c r="D7" s="19" t="s">
        <v>15</v>
      </c>
    </row>
    <row r="8" spans="1:22" x14ac:dyDescent="0.25">
      <c r="A8" s="77"/>
      <c r="B8" s="79"/>
      <c r="C8" s="80" t="s">
        <v>5</v>
      </c>
      <c r="D8" s="21" t="s">
        <v>11</v>
      </c>
    </row>
    <row r="9" spans="1:22" x14ac:dyDescent="0.25">
      <c r="A9" s="77"/>
      <c r="B9" s="79"/>
      <c r="C9" s="80"/>
      <c r="D9" s="21" t="s">
        <v>6</v>
      </c>
    </row>
    <row r="10" spans="1:22" x14ac:dyDescent="0.25">
      <c r="A10" s="77"/>
      <c r="B10" s="79"/>
      <c r="C10" s="80"/>
      <c r="D10" s="21" t="s">
        <v>7</v>
      </c>
    </row>
    <row r="11" spans="1:22" x14ac:dyDescent="0.25">
      <c r="A11" s="77"/>
      <c r="B11" s="79" t="s">
        <v>2</v>
      </c>
      <c r="C11" s="80" t="s">
        <v>4</v>
      </c>
      <c r="D11" s="21" t="s">
        <v>11</v>
      </c>
    </row>
    <row r="12" spans="1:22" x14ac:dyDescent="0.25">
      <c r="A12" s="77"/>
      <c r="B12" s="79"/>
      <c r="C12" s="80"/>
      <c r="D12" s="21" t="s">
        <v>6</v>
      </c>
    </row>
    <row r="13" spans="1:22" x14ac:dyDescent="0.25">
      <c r="A13" s="77"/>
      <c r="B13" s="79"/>
      <c r="C13" s="80"/>
      <c r="D13" s="21" t="s">
        <v>7</v>
      </c>
    </row>
    <row r="14" spans="1:22" x14ac:dyDescent="0.25">
      <c r="A14" s="77"/>
      <c r="B14" s="79"/>
      <c r="C14" s="80" t="s">
        <v>5</v>
      </c>
      <c r="D14" s="21" t="s">
        <v>11</v>
      </c>
    </row>
    <row r="15" spans="1:22" x14ac:dyDescent="0.25">
      <c r="A15" s="77"/>
      <c r="B15" s="79"/>
      <c r="C15" s="80"/>
      <c r="D15" s="21" t="s">
        <v>6</v>
      </c>
    </row>
    <row r="16" spans="1:22" x14ac:dyDescent="0.25">
      <c r="A16" s="77"/>
      <c r="B16" s="79"/>
      <c r="C16" s="80"/>
      <c r="D16" s="21" t="s">
        <v>7</v>
      </c>
    </row>
    <row r="17" spans="1:22" x14ac:dyDescent="0.25">
      <c r="A17" s="77"/>
      <c r="B17" s="79" t="s">
        <v>3</v>
      </c>
      <c r="C17" s="80" t="s">
        <v>4</v>
      </c>
      <c r="D17" s="21" t="s">
        <v>11</v>
      </c>
    </row>
    <row r="18" spans="1:22" x14ac:dyDescent="0.25">
      <c r="A18" s="77"/>
      <c r="B18" s="79"/>
      <c r="C18" s="80"/>
      <c r="D18" s="21" t="s">
        <v>6</v>
      </c>
    </row>
    <row r="19" spans="1:22" x14ac:dyDescent="0.25">
      <c r="A19" s="77"/>
      <c r="B19" s="79"/>
      <c r="C19" s="80"/>
      <c r="D19" s="21" t="s">
        <v>7</v>
      </c>
    </row>
    <row r="20" spans="1:22" x14ac:dyDescent="0.25">
      <c r="A20" s="77"/>
      <c r="B20" s="79"/>
      <c r="C20" s="80" t="s">
        <v>5</v>
      </c>
      <c r="D20" s="21" t="s">
        <v>11</v>
      </c>
    </row>
    <row r="21" spans="1:22" x14ac:dyDescent="0.25">
      <c r="A21" s="77"/>
      <c r="B21" s="79"/>
      <c r="C21" s="80"/>
      <c r="D21" s="21" t="s">
        <v>6</v>
      </c>
    </row>
    <row r="22" spans="1:22" x14ac:dyDescent="0.25">
      <c r="A22" s="78"/>
      <c r="B22" s="79"/>
      <c r="C22" s="80"/>
      <c r="D22" s="21" t="s">
        <v>7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</sheetData>
  <mergeCells count="20"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2463-11EC-4A85-91FF-D551E7F3A99D}">
  <dimension ref="A1:V22"/>
  <sheetViews>
    <sheetView workbookViewId="0">
      <selection activeCell="D38" sqref="D38"/>
    </sheetView>
  </sheetViews>
  <sheetFormatPr defaultRowHeight="12.75" x14ac:dyDescent="0.2"/>
  <cols>
    <col min="1" max="1" width="6.85546875" customWidth="1"/>
    <col min="2" max="2" width="7.7109375" customWidth="1"/>
    <col min="4" max="4" width="14.7109375" customWidth="1"/>
  </cols>
  <sheetData>
    <row r="1" spans="1:22" ht="13.5" thickBot="1" x14ac:dyDescent="0.25">
      <c r="E1" s="89" t="s">
        <v>0</v>
      </c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</row>
    <row r="2" spans="1:22" ht="13.5" thickTop="1" x14ac:dyDescent="0.2">
      <c r="D2" s="8"/>
      <c r="E2" s="90" t="s">
        <v>1</v>
      </c>
      <c r="F2" s="90"/>
      <c r="G2" s="90"/>
      <c r="H2" s="90"/>
      <c r="I2" s="90"/>
      <c r="J2" s="91"/>
      <c r="K2" s="92" t="s">
        <v>2</v>
      </c>
      <c r="L2" s="90"/>
      <c r="M2" s="90"/>
      <c r="N2" s="90"/>
      <c r="O2" s="90"/>
      <c r="P2" s="91"/>
      <c r="Q2" s="90" t="s">
        <v>3</v>
      </c>
      <c r="R2" s="90"/>
      <c r="S2" s="90"/>
      <c r="T2" s="90"/>
      <c r="U2" s="90"/>
      <c r="V2" s="90"/>
    </row>
    <row r="3" spans="1:22" x14ac:dyDescent="0.2">
      <c r="D3" s="8"/>
      <c r="E3" s="93" t="s">
        <v>4</v>
      </c>
      <c r="F3" s="94"/>
      <c r="G3" s="94"/>
      <c r="H3" s="94" t="s">
        <v>5</v>
      </c>
      <c r="I3" s="94"/>
      <c r="J3" s="94"/>
      <c r="K3" s="94" t="s">
        <v>4</v>
      </c>
      <c r="L3" s="94"/>
      <c r="M3" s="94"/>
      <c r="N3" s="94" t="s">
        <v>5</v>
      </c>
      <c r="O3" s="94"/>
      <c r="P3" s="94"/>
      <c r="Q3" s="94" t="s">
        <v>4</v>
      </c>
      <c r="R3" s="94"/>
      <c r="S3" s="94"/>
      <c r="T3" s="94" t="s">
        <v>5</v>
      </c>
      <c r="U3" s="94"/>
      <c r="V3" s="95"/>
    </row>
    <row r="4" spans="1:22" ht="25.5" x14ac:dyDescent="0.2">
      <c r="A4" s="7"/>
      <c r="B4" s="7"/>
      <c r="C4" s="7"/>
      <c r="D4" s="9"/>
      <c r="E4" s="1" t="s">
        <v>9</v>
      </c>
      <c r="F4" s="2" t="s">
        <v>8</v>
      </c>
      <c r="G4" s="2" t="s">
        <v>10</v>
      </c>
      <c r="H4" s="3" t="s">
        <v>11</v>
      </c>
      <c r="I4" s="3" t="s">
        <v>6</v>
      </c>
      <c r="J4" s="3" t="s">
        <v>7</v>
      </c>
      <c r="K4" s="3" t="s">
        <v>11</v>
      </c>
      <c r="L4" s="3" t="s">
        <v>6</v>
      </c>
      <c r="M4" s="3" t="s">
        <v>7</v>
      </c>
      <c r="N4" s="3" t="s">
        <v>11</v>
      </c>
      <c r="O4" s="3" t="s">
        <v>6</v>
      </c>
      <c r="P4" s="3" t="s">
        <v>7</v>
      </c>
      <c r="Q4" s="3" t="s">
        <v>11</v>
      </c>
      <c r="R4" s="3" t="s">
        <v>6</v>
      </c>
      <c r="S4" s="3" t="s">
        <v>7</v>
      </c>
      <c r="T4" s="3" t="s">
        <v>11</v>
      </c>
      <c r="U4" s="3" t="s">
        <v>6</v>
      </c>
      <c r="V4" s="4" t="s">
        <v>7</v>
      </c>
    </row>
    <row r="5" spans="1:22" x14ac:dyDescent="0.2">
      <c r="A5" s="96" t="s">
        <v>12</v>
      </c>
      <c r="B5" s="99" t="s">
        <v>1</v>
      </c>
      <c r="C5" s="100" t="s">
        <v>4</v>
      </c>
      <c r="D5" s="5" t="s">
        <v>13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</row>
    <row r="6" spans="1:22" x14ac:dyDescent="0.2">
      <c r="A6" s="97"/>
      <c r="B6" s="99"/>
      <c r="C6" s="100"/>
      <c r="D6" s="5" t="s">
        <v>14</v>
      </c>
    </row>
    <row r="7" spans="1:22" x14ac:dyDescent="0.2">
      <c r="A7" s="97"/>
      <c r="B7" s="99"/>
      <c r="C7" s="100"/>
      <c r="D7" s="5" t="s">
        <v>15</v>
      </c>
    </row>
    <row r="8" spans="1:22" x14ac:dyDescent="0.2">
      <c r="A8" s="97"/>
      <c r="B8" s="99"/>
      <c r="C8" s="100" t="s">
        <v>5</v>
      </c>
      <c r="D8" s="6" t="s">
        <v>11</v>
      </c>
    </row>
    <row r="9" spans="1:22" x14ac:dyDescent="0.2">
      <c r="A9" s="97"/>
      <c r="B9" s="99"/>
      <c r="C9" s="100"/>
      <c r="D9" s="6" t="s">
        <v>6</v>
      </c>
    </row>
    <row r="10" spans="1:22" x14ac:dyDescent="0.2">
      <c r="A10" s="97"/>
      <c r="B10" s="99"/>
      <c r="C10" s="100"/>
      <c r="D10" s="6" t="s">
        <v>7</v>
      </c>
    </row>
    <row r="11" spans="1:22" x14ac:dyDescent="0.2">
      <c r="A11" s="97"/>
      <c r="B11" s="99" t="s">
        <v>2</v>
      </c>
      <c r="C11" s="100" t="s">
        <v>4</v>
      </c>
      <c r="D11" s="6" t="s">
        <v>11</v>
      </c>
    </row>
    <row r="12" spans="1:22" x14ac:dyDescent="0.2">
      <c r="A12" s="97"/>
      <c r="B12" s="99"/>
      <c r="C12" s="100"/>
      <c r="D12" s="6" t="s">
        <v>6</v>
      </c>
    </row>
    <row r="13" spans="1:22" x14ac:dyDescent="0.2">
      <c r="A13" s="97"/>
      <c r="B13" s="99"/>
      <c r="C13" s="100"/>
      <c r="D13" s="6" t="s">
        <v>7</v>
      </c>
    </row>
    <row r="14" spans="1:22" x14ac:dyDescent="0.2">
      <c r="A14" s="97"/>
      <c r="B14" s="99"/>
      <c r="C14" s="100" t="s">
        <v>5</v>
      </c>
      <c r="D14" s="6" t="s">
        <v>11</v>
      </c>
    </row>
    <row r="15" spans="1:22" x14ac:dyDescent="0.2">
      <c r="A15" s="97"/>
      <c r="B15" s="99"/>
      <c r="C15" s="100"/>
      <c r="D15" s="6" t="s">
        <v>6</v>
      </c>
    </row>
    <row r="16" spans="1:22" x14ac:dyDescent="0.2">
      <c r="A16" s="97"/>
      <c r="B16" s="99"/>
      <c r="C16" s="100"/>
      <c r="D16" s="6" t="s">
        <v>7</v>
      </c>
    </row>
    <row r="17" spans="1:22" x14ac:dyDescent="0.2">
      <c r="A17" s="97"/>
      <c r="B17" s="99" t="s">
        <v>3</v>
      </c>
      <c r="C17" s="100" t="s">
        <v>4</v>
      </c>
      <c r="D17" s="6" t="s">
        <v>11</v>
      </c>
    </row>
    <row r="18" spans="1:22" x14ac:dyDescent="0.2">
      <c r="A18" s="97"/>
      <c r="B18" s="99"/>
      <c r="C18" s="100"/>
      <c r="D18" s="6" t="s">
        <v>6</v>
      </c>
    </row>
    <row r="19" spans="1:22" x14ac:dyDescent="0.2">
      <c r="A19" s="97"/>
      <c r="B19" s="99"/>
      <c r="C19" s="100"/>
      <c r="D19" s="6" t="s">
        <v>7</v>
      </c>
    </row>
    <row r="20" spans="1:22" x14ac:dyDescent="0.2">
      <c r="A20" s="97"/>
      <c r="B20" s="99"/>
      <c r="C20" s="100" t="s">
        <v>5</v>
      </c>
      <c r="D20" s="6" t="s">
        <v>11</v>
      </c>
    </row>
    <row r="21" spans="1:22" x14ac:dyDescent="0.2">
      <c r="A21" s="97"/>
      <c r="B21" s="99"/>
      <c r="C21" s="100"/>
      <c r="D21" s="6" t="s">
        <v>6</v>
      </c>
    </row>
    <row r="22" spans="1:22" x14ac:dyDescent="0.2">
      <c r="A22" s="98"/>
      <c r="B22" s="99"/>
      <c r="C22" s="100"/>
      <c r="D22" s="6" t="s">
        <v>7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</sheetData>
  <mergeCells count="20">
    <mergeCell ref="A5:A22"/>
    <mergeCell ref="B5:B10"/>
    <mergeCell ref="C5:C7"/>
    <mergeCell ref="C8:C10"/>
    <mergeCell ref="B11:B16"/>
    <mergeCell ref="C11:C13"/>
    <mergeCell ref="C14:C16"/>
    <mergeCell ref="B17:B22"/>
    <mergeCell ref="C17:C19"/>
    <mergeCell ref="C20:C22"/>
    <mergeCell ref="E1:V1"/>
    <mergeCell ref="E2:J2"/>
    <mergeCell ref="K2:P2"/>
    <mergeCell ref="Q2:V2"/>
    <mergeCell ref="E3:G3"/>
    <mergeCell ref="H3:J3"/>
    <mergeCell ref="K3:M3"/>
    <mergeCell ref="N3:P3"/>
    <mergeCell ref="Q3:S3"/>
    <mergeCell ref="T3:V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CijEst2019</vt:lpstr>
      <vt:lpstr>CijEst2019and2010 Vertical</vt:lpstr>
      <vt:lpstr>CijEst2010</vt:lpstr>
      <vt:lpstr>PrefChange2019</vt:lpstr>
      <vt:lpstr>ChoiceSet1910</vt:lpstr>
      <vt:lpstr>ChoiceSetduetoFemales</vt:lpstr>
      <vt:lpstr>ChoiceSetduetoMales</vt:lpstr>
      <vt:lpstr>Transferij2019</vt:lpstr>
      <vt:lpstr>Transferij2010</vt:lpstr>
      <vt:lpstr>TransferChange1910</vt:lpstr>
      <vt:lpstr>Plot Logan </vt:lpstr>
      <vt:lpstr>2019 Raw Statistics Unweighted</vt:lpstr>
      <vt:lpstr>2019 Statistics Weighted</vt:lpstr>
      <vt:lpstr>2010 Raw Statistics Unweighted</vt:lpstr>
      <vt:lpstr>2010 Statistics Weighted</vt:lpstr>
      <vt:lpstr>TEMPLATE 1</vt:lpstr>
      <vt:lpstr>TEMPLATE</vt:lpstr>
      <vt:lpstr>TEMPLATE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Han, Xuehui</dc:creator>
  <cp:lastModifiedBy>Han, Xuehui</cp:lastModifiedBy>
  <dcterms:created xsi:type="dcterms:W3CDTF">2024-01-15T21:09:30Z</dcterms:created>
  <dcterms:modified xsi:type="dcterms:W3CDTF">2025-12-23T18:33:34Z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2024-01-15T21:25:22Z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a8993121-c1a0-4ce7-b432-b0e378194637</vt:lpwstr>
  </property>
  <property fmtid="{D5CDD505-2E9C-101B-9397-08002B2CF9AE}" pid="8" name="MSIP_Label_0c07ed86-5dc5-4593-ad03-a8684b843815_ContentBits">
    <vt:lpwstr>0</vt:lpwstr>
  </property>
</Properties>
</file>